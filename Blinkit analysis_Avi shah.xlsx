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Vidhi Shah\Desktop\Excel Project\"/>
    </mc:Choice>
  </mc:AlternateContent>
  <xr:revisionPtr revIDLastSave="0" documentId="13_ncr:1_{1F295F91-43AD-4FE7-BA15-C57B8D0F9A27}" xr6:coauthVersionLast="47" xr6:coauthVersionMax="47" xr10:uidLastSave="{00000000-0000-0000-0000-000000000000}"/>
  <bookViews>
    <workbookView xWindow="-108" yWindow="-108" windowWidth="23256" windowHeight="12456" activeTab="2" xr2:uid="{F8420BDF-C08E-4FBB-891B-F574F63AC6D0}"/>
  </bookViews>
  <sheets>
    <sheet name="Sheet Design" sheetId="3" r:id="rId1"/>
    <sheet name="BlinkIT Grocery Data" sheetId="1" r:id="rId2"/>
    <sheet name="Dashboard" sheetId="6" r:id="rId3"/>
  </sheets>
  <definedNames>
    <definedName name="_xlchart.v2.0" hidden="1">'Sheet Design'!$K$216</definedName>
    <definedName name="_xlchart.v2.1" hidden="1">'Sheet Design'!$L$40:$L$42</definedName>
    <definedName name="_xlchart.v2.2" hidden="1">'Sheet Design'!$M$40:$M$42</definedName>
    <definedName name="_xlchart.v2.3" hidden="1">'Sheet Design'!$K$216</definedName>
    <definedName name="_xlchart.v2.4" hidden="1">'Sheet Design'!$L$40:$L$42</definedName>
    <definedName name="_xlchart.v2.5" hidden="1">'Sheet Design'!$M$40:$M$42</definedName>
    <definedName name="Slicer_Item_Type">#N/A</definedName>
    <definedName name="Slicer_Outlet_Location_Type">#N/A</definedName>
    <definedName name="Slicer_Outlet_Size">#N/A</definedName>
  </definedNames>
  <calcPr calcId="191029"/>
  <pivotCaches>
    <pivotCache cacheId="3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41" i="3" l="1"/>
  <c r="L42" i="3"/>
  <c r="L40" i="3"/>
  <c r="M40" i="3"/>
  <c r="M41" i="3"/>
  <c r="M42" i="3"/>
  <c r="B6" i="3"/>
  <c r="D6" i="3"/>
  <c r="C6" i="3"/>
  <c r="A6" i="3"/>
</calcChain>
</file>

<file path=xl/sharedStrings.xml><?xml version="1.0" encoding="utf-8"?>
<sst xmlns="http://schemas.openxmlformats.org/spreadsheetml/2006/main" count="59748" uniqueCount="1629">
  <si>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</si>
  <si>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</si>
  <si>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</si>
  <si>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</si>
  <si>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</si>
  <si>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</si>
  <si>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</si>
  <si>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</si>
  <si>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</si>
  <si>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</si>
  <si>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</si>
  <si>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</si>
  <si>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</si>
  <si>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</si>
  <si>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</si>
  <si>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</si>
  <si>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</si>
  <si>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</si>
  <si>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</si>
  <si>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</si>
  <si>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</si>
  <si>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</si>
  <si>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</si>
  <si>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</si>
  <si>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</si>
  <si>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</si>
  <si>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</si>
  <si>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</si>
  <si>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</si>
  <si>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</si>
  <si>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</si>
  <si>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</si>
  <si>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</si>
  <si>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</si>
  <si>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</si>
  <si>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</si>
  <si>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</si>
  <si>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</si>
  <si>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</si>
  <si>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</si>
  <si>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</si>
  <si>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</si>
  <si>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</si>
  <si>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</si>
  <si>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</si>
  <si>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</si>
  <si>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</si>
  <si>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</si>
  <si>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</si>
  <si>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</si>
  <si>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</si>
  <si>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</si>
  <si>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</si>
  <si>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</si>
  <si>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</si>
  <si>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</si>
  <si>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</si>
  <si>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</si>
  <si>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</si>
  <si>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</si>
  <si>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</si>
  <si>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</si>
  <si>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</si>
  <si>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</si>
  <si>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</si>
  <si>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</si>
  <si>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</si>
  <si>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</si>
  <si>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</si>
  <si>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</si>
  <si>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</si>
  <si>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</si>
  <si>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</si>
  <si>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</si>
  <si>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</si>
  <si>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</si>
  <si>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</si>
  <si>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</si>
  <si>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</si>
  <si>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</si>
  <si>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</si>
  <si>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</si>
  <si>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</si>
  <si>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</si>
  <si>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</si>
  <si>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</si>
  <si>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</si>
  <si>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</si>
  <si>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</si>
  <si>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</si>
  <si>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</si>
  <si>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</si>
  <si>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</si>
  <si>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</si>
  <si>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</si>
  <si>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</si>
  <si>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</si>
  <si>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</si>
  <si>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</si>
  <si>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</si>
  <si>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</si>
  <si>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</si>
  <si>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</si>
  <si>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</si>
  <si>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</si>
  <si>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</si>
  <si>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</si>
  <si>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</si>
  <si>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</si>
  <si>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</si>
  <si>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</si>
  <si>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</si>
  <si>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</si>
  <si>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</si>
  <si>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</si>
  <si>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</si>
  <si>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</si>
  <si>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</si>
  <si>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</si>
  <si>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</si>
  <si>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</si>
  <si>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</si>
  <si>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</si>
  <si>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</si>
  <si>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</si>
  <si>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</si>
  <si>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</si>
  <si>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</si>
  <si>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</si>
  <si>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</si>
  <si>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</si>
  <si>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</si>
  <si>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</si>
  <si>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</si>
  <si>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</si>
  <si>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</si>
  <si>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</si>
  <si>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</si>
  <si>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</si>
  <si>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</si>
  <si>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</si>
  <si>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</si>
  <si>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</si>
  <si>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</si>
  <si>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</si>
  <si>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</si>
  <si>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</si>
  <si>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</si>
  <si>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</si>
  <si>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</si>
  <si>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</si>
  <si>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</si>
  <si>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</si>
  <si>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</si>
  <si>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</si>
  <si>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</si>
  <si>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</si>
  <si>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</si>
  <si>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</si>
  <si>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</si>
  <si>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</si>
  <si>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</si>
  <si>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</si>
  <si>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</si>
  <si>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</si>
  <si>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</si>
  <si>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</si>
  <si>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</si>
  <si>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</si>
  <si>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</si>
  <si>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</si>
  <si>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</si>
  <si>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</si>
  <si>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</si>
  <si>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</si>
  <si>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</si>
  <si>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</si>
  <si>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</si>
  <si>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</si>
  <si>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</si>
  <si>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</si>
  <si>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</si>
  <si>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</si>
  <si>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</si>
  <si>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</si>
  <si>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</si>
  <si>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</si>
  <si>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</si>
  <si>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</si>
  <si>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</si>
  <si>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</si>
  <si>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</si>
  <si>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</si>
  <si>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</si>
  <si>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</si>
  <si>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</si>
  <si>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</si>
  <si>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</si>
  <si>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</si>
  <si>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</si>
  <si>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</si>
  <si>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</si>
  <si>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</si>
  <si>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</si>
  <si>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</si>
  <si>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</si>
  <si>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</si>
  <si>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</si>
  <si>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</si>
  <si>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</si>
  <si>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</si>
  <si>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</si>
  <si>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</si>
  <si>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</si>
  <si>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</si>
  <si>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</si>
  <si>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</si>
  <si>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</si>
  <si>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</si>
  <si>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</si>
  <si>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</si>
  <si>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</si>
  <si>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</si>
  <si>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</si>
  <si>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</si>
  <si>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</si>
  <si>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</si>
  <si>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</si>
  <si>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</si>
  <si>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</si>
  <si>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</si>
  <si>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</si>
  <si>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</si>
  <si>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</si>
  <si>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</si>
  <si>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</si>
  <si>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</si>
  <si>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</si>
  <si>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</si>
  <si>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</si>
  <si>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</si>
  <si>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</si>
  <si>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</si>
  <si>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</si>
  <si>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</si>
  <si>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</si>
  <si>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</si>
  <si>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</si>
  <si>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</si>
  <si>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</si>
  <si>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</si>
  <si>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</si>
  <si>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</si>
  <si>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</si>
  <si>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</si>
  <si>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</si>
  <si>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</si>
  <si>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</si>
  <si>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</si>
  <si>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</si>
  <si>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</si>
  <si>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</si>
  <si>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</si>
  <si>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</si>
  <si>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</si>
  <si>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</si>
  <si>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</si>
  <si>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</si>
  <si>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</si>
  <si>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</si>
  <si>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</si>
  <si>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</si>
  <si>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</si>
  <si>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</si>
  <si>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</si>
  <si>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</si>
  <si>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</si>
  <si>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</si>
  <si>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</si>
  <si>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</si>
  <si>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</si>
  <si>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</si>
  <si>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</si>
  <si>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</si>
  <si>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</si>
  <si>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</si>
  <si>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</si>
  <si>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</si>
  <si>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</si>
  <si>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</si>
  <si>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</si>
  <si>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</si>
  <si>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</si>
  <si>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</si>
  <si>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</si>
  <si>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</si>
  <si>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</si>
  <si>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</si>
  <si>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</si>
  <si>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</si>
  <si>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</si>
  <si>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</si>
  <si>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</si>
  <si>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</si>
  <si>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</si>
  <si>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</si>
  <si>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</si>
  <si>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</si>
  <si>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</si>
  <si>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</si>
  <si>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</si>
  <si>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</si>
  <si>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</si>
  <si>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</si>
  <si>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</si>
  <si>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</si>
  <si>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</si>
  <si>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</si>
  <si>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</si>
  <si>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</si>
  <si>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</si>
  <si>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</si>
  <si>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</si>
  <si>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</si>
  <si>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</si>
  <si>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</si>
  <si>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</si>
  <si>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</si>
  <si>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</si>
  <si>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</si>
  <si>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</si>
  <si>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</si>
  <si>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</si>
  <si>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</si>
  <si>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</si>
  <si>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</si>
  <si>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</si>
  <si>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</si>
  <si>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</si>
  <si>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</si>
  <si>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</si>
  <si>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</si>
  <si>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</si>
  <si>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</si>
  <si>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</si>
  <si>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</si>
  <si>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</si>
  <si>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</si>
  <si>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</si>
  <si>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</si>
  <si>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</si>
  <si>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</si>
  <si>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</si>
  <si>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</si>
  <si>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</si>
  <si>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</si>
  <si>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</si>
  <si>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</si>
  <si>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</si>
  <si>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</si>
  <si>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</si>
  <si>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</si>
  <si>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</si>
  <si>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</si>
  <si>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</si>
  <si>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</si>
  <si>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</si>
  <si>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</si>
  <si>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</si>
  <si>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</si>
  <si>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</si>
  <si>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</si>
  <si>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</si>
  <si>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</si>
  <si>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</si>
  <si>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</si>
  <si>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</si>
  <si>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</si>
  <si>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</si>
  <si>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</si>
  <si>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</si>
  <si>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</si>
  <si>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</si>
  <si>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</si>
  <si>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</si>
  <si>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</si>
  <si>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</si>
  <si>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</si>
  <si>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</si>
  <si>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</si>
  <si>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</si>
  <si>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</si>
  <si>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</si>
  <si>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</si>
  <si>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</si>
  <si>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</si>
  <si>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</si>
  <si>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</si>
  <si>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</si>
  <si>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</si>
  <si>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</si>
  <si>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</si>
  <si>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</si>
  <si>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</si>
  <si>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</si>
  <si>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</si>
  <si>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</si>
  <si>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</si>
  <si>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</si>
  <si>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</si>
  <si>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</si>
  <si>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</si>
  <si>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</si>
  <si>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</si>
  <si>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</si>
  <si>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</si>
  <si>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</si>
  <si>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</si>
  <si>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</si>
  <si>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</si>
  <si>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</si>
  <si>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</si>
  <si>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</si>
  <si>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</si>
  <si>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</si>
  <si>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</si>
  <si>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</si>
  <si>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</si>
  <si>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</si>
  <si>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</si>
  <si>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</si>
  <si>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</si>
  <si>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</si>
  <si>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</si>
  <si>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</si>
  <si>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</si>
  <si>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</si>
  <si>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</si>
  <si>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</si>
  <si>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</si>
  <si>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</si>
  <si>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</si>
  <si>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</si>
  <si>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</si>
  <si>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</si>
  <si>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</si>
  <si>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</si>
  <si>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</si>
  <si>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</si>
  <si>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</si>
  <si>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</si>
  <si>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</si>
  <si>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</si>
  <si>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</si>
  <si>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</si>
  <si>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</si>
  <si>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</si>
  <si>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</si>
  <si>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</si>
  <si>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</si>
  <si>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</si>
  <si>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</si>
  <si>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</si>
  <si>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</si>
  <si>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</si>
  <si>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</si>
  <si>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</si>
  <si>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</si>
  <si>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</si>
  <si>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</si>
  <si>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</si>
  <si>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</si>
  <si>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</si>
  <si>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</si>
  <si>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</si>
  <si>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</si>
  <si>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</si>
  <si>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</si>
  <si>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</si>
  <si>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</si>
  <si>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</si>
  <si>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</si>
  <si>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</si>
  <si>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</si>
  <si>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</si>
  <si>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</si>
  <si>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</si>
  <si>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</si>
  <si>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</si>
  <si>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</si>
  <si>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</si>
  <si>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</si>
  <si>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</si>
  <si>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</si>
  <si>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</si>
  <si>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</si>
  <si>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</si>
  <si>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</si>
  <si>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</si>
  <si>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</si>
  <si>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</si>
  <si>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</si>
  <si>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</si>
  <si>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</si>
  <si>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</si>
  <si>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</si>
  <si>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</si>
  <si>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</si>
  <si>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</si>
  <si>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</si>
  <si>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</si>
  <si>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</si>
  <si>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</si>
  <si>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</si>
  <si>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</si>
  <si>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</si>
  <si>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</si>
  <si>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</si>
  <si>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</si>
  <si>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</si>
  <si>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</si>
  <si>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</si>
  <si>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</si>
  <si>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</si>
  <si>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</si>
  <si>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</si>
  <si>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</si>
  <si>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</si>
  <si>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</si>
  <si>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</si>
  <si>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</si>
  <si>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</si>
  <si>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</si>
  <si>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</si>
  <si>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</si>
  <si>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</si>
  <si>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</si>
  <si>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</si>
  <si>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</si>
  <si>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</si>
  <si>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</si>
  <si>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</si>
  <si>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</si>
  <si>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</si>
  <si>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</si>
  <si>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</si>
  <si>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</si>
  <si>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</si>
  <si>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</si>
  <si>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</si>
  <si>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</si>
  <si>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</si>
  <si>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</si>
  <si>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</si>
  <si>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</si>
  <si>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</si>
  <si>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</si>
  <si>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</si>
  <si>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</si>
  <si>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</si>
  <si>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</si>
  <si>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</si>
  <si>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</si>
  <si>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</si>
  <si>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</si>
  <si>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</si>
  <si>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</si>
  <si>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</si>
  <si>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</si>
  <si>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</si>
  <si>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</si>
  <si>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</si>
  <si>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</si>
  <si>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</si>
  <si>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</si>
  <si>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</si>
  <si>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</si>
  <si>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</si>
  <si>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</si>
  <si>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</si>
  <si>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</si>
  <si>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</si>
  <si>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</si>
  <si>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</si>
  <si>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</si>
  <si>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</si>
  <si>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</si>
  <si>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</si>
  <si>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</si>
  <si>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</si>
  <si>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</si>
  <si>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</si>
  <si>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</si>
  <si>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</si>
  <si>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</si>
  <si>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</si>
  <si>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</si>
  <si>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</si>
  <si>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</si>
  <si>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</si>
  <si>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</si>
  <si>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</si>
  <si>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</si>
  <si>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</si>
  <si>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</si>
  <si>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</si>
  <si>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</si>
  <si>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</si>
  <si>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</si>
  <si>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</si>
  <si>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</si>
  <si>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</si>
  <si>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</si>
  <si>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</si>
  <si>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</si>
  <si>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</si>
  <si>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</si>
  <si>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</si>
  <si>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</si>
  <si>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</si>
  <si>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</si>
  <si>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</si>
  <si>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</si>
  <si>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</si>
  <si>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</si>
  <si>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</si>
  <si>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</si>
  <si>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</si>
  <si>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</si>
  <si>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</si>
  <si>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</si>
  <si>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</si>
  <si>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</si>
  <si>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</si>
  <si>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</si>
  <si>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</si>
  <si>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</si>
  <si>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</si>
  <si>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</si>
  <si>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</si>
  <si>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</si>
  <si>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</si>
  <si>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</si>
  <si>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</si>
  <si>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</si>
  <si>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</si>
  <si>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</si>
  <si>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</si>
  <si>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</si>
  <si>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</si>
  <si>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</si>
  <si>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</si>
  <si>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</si>
  <si>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</si>
  <si>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</si>
  <si>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</si>
  <si>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</si>
  <si>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</si>
  <si>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</si>
  <si>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</si>
  <si>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</si>
  <si>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</si>
  <si>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</si>
  <si>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</si>
  <si>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</si>
  <si>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</si>
  <si>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</si>
  <si>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</si>
  <si>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</si>
  <si>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</si>
  <si>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</si>
  <si>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</si>
  <si>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</si>
  <si>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</si>
  <si>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</si>
  <si>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</si>
  <si>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</si>
  <si>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</si>
  <si>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</si>
  <si>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</si>
  <si>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</si>
  <si>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</si>
  <si>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</si>
  <si>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</si>
  <si>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</si>
  <si>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</si>
  <si>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</si>
  <si>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</si>
  <si>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</si>
  <si>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</si>
  <si>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</si>
  <si>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</si>
  <si>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</si>
  <si>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</si>
  <si>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</si>
  <si>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</si>
  <si>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</si>
  <si>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</si>
  <si>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</si>
  <si>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</si>
  <si>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</si>
  <si>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</si>
  <si>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</si>
  <si>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</si>
  <si>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</si>
  <si>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</si>
  <si>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</si>
  <si>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</si>
  <si>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</si>
  <si>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</si>
  <si>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</si>
  <si>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</si>
  <si>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</si>
  <si>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</si>
  <si>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</si>
  <si>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</si>
  <si>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</si>
  <si>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</si>
  <si>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</si>
  <si>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</si>
  <si>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</si>
  <si>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</si>
  <si>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</si>
  <si>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</si>
  <si>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</si>
  <si>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</si>
  <si>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</si>
  <si>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</si>
  <si>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</si>
  <si>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</si>
  <si>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</si>
  <si>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</si>
  <si>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</si>
  <si>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</si>
  <si>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</si>
  <si>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</si>
  <si>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</si>
  <si>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</si>
  <si>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</si>
  <si>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</si>
  <si>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</si>
  <si>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</si>
  <si>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</si>
  <si>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</si>
  <si>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</si>
  <si>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</si>
  <si>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</si>
  <si>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</si>
  <si>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</si>
  <si>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</si>
  <si>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</si>
  <si>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</si>
  <si>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</si>
  <si>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</si>
  <si>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</si>
  <si>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</si>
  <si>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</si>
  <si>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</si>
  <si>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</si>
  <si>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</si>
  <si>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</si>
  <si>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</si>
  <si>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</si>
  <si>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</si>
  <si>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</si>
  <si>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</si>
  <si>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</si>
  <si>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</si>
  <si>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</si>
  <si>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</si>
  <si>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</si>
  <si>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</si>
  <si>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</si>
  <si>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</si>
  <si>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</si>
  <si>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</si>
  <si>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</si>
  <si>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</si>
  <si>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</si>
  <si>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</si>
  <si>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</si>
  <si>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</si>
  <si>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</si>
  <si>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</si>
  <si>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</si>
  <si>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</si>
  <si>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</si>
  <si>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</si>
  <si>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</si>
  <si>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</si>
  <si>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</si>
  <si>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</si>
  <si>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</si>
  <si>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</si>
  <si>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</si>
  <si>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</si>
  <si>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</si>
  <si>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</si>
  <si>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</si>
  <si>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</si>
  <si>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</si>
  <si>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</si>
  <si>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</si>
  <si>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</si>
  <si>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</si>
  <si>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</si>
  <si>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</si>
  <si>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</si>
  <si>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</si>
  <si>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</si>
  <si>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</si>
  <si>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</si>
  <si>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</si>
  <si>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</si>
  <si>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</si>
  <si>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</si>
  <si>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</si>
  <si>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</si>
  <si>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</si>
  <si>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</si>
  <si>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</si>
  <si>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</si>
  <si>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</si>
  <si>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</si>
  <si>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</si>
  <si>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</si>
  <si>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</si>
  <si>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</si>
  <si>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</si>
  <si>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</si>
  <si>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</si>
  <si>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</si>
  <si>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</si>
  <si>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</si>
  <si>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</si>
  <si>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</si>
  <si>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</si>
  <si>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</si>
  <si>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</si>
  <si>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</si>
  <si>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</si>
  <si>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</si>
  <si>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</si>
  <si>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</si>
  <si>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</si>
  <si>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</si>
  <si>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</si>
  <si>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</si>
  <si>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</si>
  <si>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</si>
  <si>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</si>
  <si>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</si>
  <si>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</si>
  <si>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</si>
  <si>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</si>
  <si>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</si>
  <si>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</si>
  <si>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</si>
  <si>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</si>
  <si>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</si>
  <si>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</si>
  <si>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</si>
  <si>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</si>
  <si>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</si>
  <si>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</si>
  <si>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</si>
  <si>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</si>
  <si>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</si>
  <si>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</si>
  <si>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</si>
  <si>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</si>
  <si>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</si>
  <si>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</si>
  <si>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</si>
  <si>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</si>
  <si>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</si>
  <si>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</si>
  <si>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</si>
  <si>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</si>
  <si>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</si>
  <si>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</si>
  <si>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</si>
  <si>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</si>
  <si>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</si>
  <si>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</si>
  <si>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</si>
  <si>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</si>
  <si>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</si>
  <si>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</si>
  <si>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</si>
  <si>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</si>
  <si>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</si>
  <si>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</si>
  <si>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</si>
  <si>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</si>
  <si>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</si>
  <si>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</si>
  <si>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</si>
  <si>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</si>
  <si>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</si>
  <si>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</si>
  <si>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</si>
  <si>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</si>
  <si>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</si>
  <si>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</si>
  <si>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</si>
  <si>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</si>
  <si>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</si>
  <si>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</si>
  <si>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</si>
  <si>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</si>
  <si>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</si>
  <si>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</si>
  <si>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</si>
  <si>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</si>
  <si>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</si>
  <si>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</si>
  <si>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</si>
  <si>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</si>
  <si>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</si>
  <si>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</si>
  <si>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</si>
  <si>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</si>
  <si>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</si>
  <si>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</si>
  <si>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</si>
  <si>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</si>
  <si>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</si>
  <si>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</si>
  <si>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</si>
  <si>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</si>
  <si>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</si>
  <si>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</si>
  <si>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</si>
  <si>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</si>
  <si>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</si>
  <si>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</si>
  <si>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</si>
  <si>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</si>
  <si>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</si>
  <si>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</si>
  <si>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</si>
  <si>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</si>
  <si>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</si>
  <si>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</si>
  <si>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</si>
  <si>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</si>
  <si>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</si>
  <si>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</si>
  <si>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</si>
  <si>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</si>
  <si>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</si>
  <si>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</si>
  <si>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</si>
  <si>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</si>
  <si>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</si>
  <si>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</si>
  <si>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</si>
  <si>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</si>
  <si>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</si>
  <si>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</si>
  <si>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</si>
  <si>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</si>
  <si>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</si>
  <si>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</si>
  <si>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</si>
  <si>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</si>
  <si>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</si>
  <si>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</si>
  <si>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</si>
  <si>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</si>
  <si>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</si>
  <si>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</si>
  <si>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</si>
  <si>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</si>
  <si>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</si>
  <si>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</si>
  <si>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</si>
  <si>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</si>
  <si>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</si>
  <si>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</si>
  <si>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</si>
  <si>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</si>
  <si>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</si>
  <si>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</si>
  <si>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</si>
  <si>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</si>
  <si>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</si>
  <si>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</si>
  <si>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</si>
  <si>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</si>
  <si>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</si>
  <si>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</si>
  <si>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</si>
  <si>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</si>
  <si>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</si>
  <si>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</si>
  <si>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</si>
  <si>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</si>
  <si>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</si>
  <si>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</si>
  <si>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</si>
  <si>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</si>
  <si>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</si>
  <si>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</si>
  <si>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</si>
  <si>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</si>
  <si>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</si>
  <si>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</si>
  <si>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</si>
  <si>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</si>
  <si>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</si>
  <si>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</si>
  <si>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</si>
  <si>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</si>
  <si>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</si>
  <si>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</si>
  <si>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</si>
  <si>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</si>
  <si>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</si>
  <si>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</si>
  <si>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</si>
  <si>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</si>
  <si>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</si>
  <si>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</si>
  <si>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</si>
  <si>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</si>
  <si>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</si>
  <si>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</si>
  <si>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</si>
  <si>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</si>
  <si>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</si>
  <si>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</si>
  <si>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</si>
  <si>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</si>
  <si>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</si>
  <si>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</si>
  <si>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</si>
  <si>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</si>
  <si>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</si>
  <si>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</si>
  <si>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</si>
  <si>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</si>
  <si>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</si>
  <si>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</si>
  <si>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</si>
  <si>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</si>
  <si>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</si>
  <si>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</si>
  <si>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</si>
  <si>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</si>
  <si>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</si>
  <si>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</si>
  <si>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</si>
  <si>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</si>
  <si>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</si>
  <si>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</si>
  <si>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</si>
  <si>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</si>
  <si>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</si>
  <si>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</si>
  <si>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</si>
  <si>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</si>
  <si>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</si>
  <si>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</si>
  <si>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</si>
  <si>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</si>
  <si>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</si>
  <si>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</si>
  <si>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</si>
  <si>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</si>
  <si>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</si>
  <si>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</si>
  <si>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</si>
  <si>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</si>
  <si>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</si>
  <si>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</si>
  <si>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</si>
  <si>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</si>
  <si>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</si>
  <si>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</si>
  <si>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</si>
  <si>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</si>
  <si>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</si>
  <si>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</si>
  <si>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</si>
  <si>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</si>
  <si>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</si>
  <si>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</si>
  <si>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</si>
  <si>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</si>
  <si>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</si>
  <si>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</si>
  <si>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</si>
  <si>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</si>
  <si>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</si>
  <si>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</si>
  <si>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</si>
  <si>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</si>
  <si>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</si>
  <si>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</si>
  <si>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</si>
  <si>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</si>
  <si>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</si>
  <si>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</si>
  <si>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</si>
  <si>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</si>
  <si>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</si>
  <si>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</si>
  <si>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</si>
  <si>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</si>
  <si>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</si>
  <si>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</si>
  <si>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</si>
  <si>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</si>
  <si>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</si>
  <si>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</si>
  <si>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</si>
  <si>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</si>
  <si>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</si>
  <si>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</si>
  <si>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</si>
  <si>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</si>
  <si>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</si>
  <si>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</si>
  <si>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</si>
  <si>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</si>
  <si>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</si>
  <si>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</si>
  <si>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</si>
  <si>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</si>
  <si>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</si>
  <si>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</si>
  <si>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</si>
  <si>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</si>
  <si>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</si>
  <si>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</si>
  <si>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</si>
  <si>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</si>
  <si>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</si>
  <si>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</si>
  <si>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</si>
  <si>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</si>
  <si>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</si>
  <si>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</si>
  <si>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</si>
  <si>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</si>
  <si>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</si>
  <si>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</si>
  <si>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</si>
  <si>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</si>
  <si>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</si>
  <si>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</si>
  <si>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</si>
  <si>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</si>
  <si>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</si>
  <si>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</si>
  <si>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</si>
  <si>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</si>
  <si>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</si>
  <si>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</si>
  <si>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</si>
  <si>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</si>
  <si>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</si>
  <si>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</si>
  <si>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</si>
  <si>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</si>
  <si>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</si>
  <si>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</si>
  <si>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</si>
  <si>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</si>
  <si>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</si>
  <si>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</si>
  <si>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</si>
  <si>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</si>
  <si>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</si>
  <si>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</si>
  <si>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</si>
  <si>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</si>
  <si>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</si>
  <si>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</si>
  <si>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</si>
  <si>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</si>
  <si>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</si>
  <si>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</si>
  <si>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</si>
  <si>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</si>
  <si>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</si>
  <si>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</si>
  <si>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</si>
  <si>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</si>
  <si>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</si>
  <si>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</si>
  <si>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</si>
  <si>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</si>
  <si>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</si>
  <si>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</si>
  <si>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</si>
  <si>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</si>
  <si>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</si>
  <si>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</si>
  <si>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</si>
  <si>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</si>
  <si>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</si>
  <si>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</si>
  <si>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</si>
  <si>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</si>
  <si>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</si>
  <si>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</si>
  <si>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</si>
  <si>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</si>
  <si>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</si>
  <si>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</si>
  <si>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</si>
  <si>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</si>
  <si>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</si>
  <si>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</si>
  <si>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</si>
  <si>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</si>
  <si>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</si>
  <si>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</si>
  <si>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</si>
  <si>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</si>
  <si>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</si>
  <si>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</si>
  <si>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</si>
  <si>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</si>
  <si>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</si>
  <si>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</si>
  <si>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</si>
  <si>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</si>
  <si>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</si>
  <si>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</si>
  <si>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</si>
  <si>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</si>
  <si>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</si>
  <si>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</si>
  <si>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</si>
  <si>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</si>
  <si>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</si>
  <si>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</si>
  <si>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</si>
  <si>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</si>
  <si>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</si>
  <si>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</si>
  <si>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</si>
  <si>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</si>
  <si>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</si>
  <si>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</si>
  <si>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</si>
  <si>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</si>
  <si>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</si>
  <si>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</si>
  <si>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</si>
  <si>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</si>
  <si>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</si>
  <si>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</si>
  <si>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</si>
  <si>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</si>
  <si>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</si>
  <si>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</si>
  <si>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</si>
  <si>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</si>
  <si>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</si>
  <si>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</si>
  <si>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</si>
  <si>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</si>
  <si>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</si>
  <si>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</si>
  <si>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</si>
  <si>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</si>
  <si>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</si>
  <si>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</si>
  <si>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</si>
  <si>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</si>
  <si>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</si>
  <si>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</si>
  <si>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</si>
  <si>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</si>
  <si>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</si>
  <si>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</si>
  <si>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</si>
  <si>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</si>
  <si>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</si>
  <si>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</si>
  <si>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</si>
  <si>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</si>
  <si>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</si>
  <si>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</si>
  <si>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</si>
  <si>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</si>
  <si>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</si>
  <si>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</si>
  <si>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</si>
  <si>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</si>
  <si>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</si>
  <si>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</si>
  <si>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</si>
  <si>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</si>
  <si>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</si>
  <si>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</si>
  <si>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</si>
  <si>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</si>
  <si>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</si>
  <si>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</si>
  <si>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</si>
  <si>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</si>
  <si>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</si>
  <si>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</si>
  <si>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</si>
  <si>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</si>
  <si>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</si>
  <si>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</si>
  <si>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</si>
  <si>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</si>
  <si>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</si>
  <si>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</si>
  <si>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</si>
  <si>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</si>
  <si>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</si>
  <si>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</si>
  <si>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</si>
  <si>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</si>
  <si>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</si>
  <si>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</si>
  <si>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</si>
  <si>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</si>
  <si>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</si>
  <si>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</si>
  <si>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</si>
  <si>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</si>
  <si>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</si>
  <si>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</si>
  <si>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</si>
  <si>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</si>
  <si>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</si>
  <si>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</si>
  <si>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</si>
  <si>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</si>
  <si>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</si>
  <si>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</si>
  <si>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</si>
  <si>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</si>
  <si>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</si>
  <si>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</si>
  <si>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</si>
  <si>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</si>
  <si>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</si>
  <si>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</si>
  <si>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</si>
  <si>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</si>
  <si>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</si>
  <si>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</si>
  <si>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</si>
  <si>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</si>
  <si>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</si>
  <si>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</si>
  <si>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</si>
  <si>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</si>
  <si>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</si>
  <si>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</si>
  <si>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</si>
  <si>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</si>
  <si>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</si>
  <si>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</si>
  <si>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</si>
  <si>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</si>
  <si>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</si>
  <si>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</si>
  <si>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</si>
  <si>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</si>
  <si>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</si>
  <si>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</si>
  <si>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</si>
  <si>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</si>
  <si>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</si>
  <si>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</si>
  <si>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</si>
  <si>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</si>
  <si>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</si>
  <si>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</si>
  <si>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</si>
  <si>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</si>
  <si>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</si>
  <si>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</si>
  <si>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</si>
  <si>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</si>
  <si>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</si>
  <si>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</si>
  <si>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</si>
  <si>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</si>
  <si>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</si>
  <si>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</si>
  <si>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</si>
  <si>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</si>
  <si>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</si>
  <si>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</si>
  <si>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</si>
  <si>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</si>
  <si>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</si>
  <si>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</si>
  <si>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</si>
  <si>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</si>
  <si>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</si>
  <si>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</si>
  <si>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</si>
  <si>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</si>
  <si>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</si>
  <si>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</si>
  <si>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</si>
  <si>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</si>
  <si>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</si>
  <si>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</si>
  <si>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</si>
  <si>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</si>
  <si>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</si>
  <si>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</si>
  <si>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</si>
  <si>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</si>
  <si>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</si>
  <si>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</si>
  <si>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</si>
  <si>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</si>
  <si>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</si>
  <si>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</si>
  <si>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</si>
  <si>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</si>
  <si>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</si>
  <si>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</si>
  <si>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</si>
  <si>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</si>
  <si>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</si>
  <si>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</si>
  <si>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</si>
  <si>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</si>
  <si>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</si>
  <si>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</si>
  <si>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</si>
  <si>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</si>
  <si>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</si>
  <si>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</si>
  <si>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</si>
  <si>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</si>
  <si>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</si>
  <si>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</si>
  <si>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</si>
  <si>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</si>
  <si>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</si>
  <si>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</si>
  <si>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</si>
  <si>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</si>
  <si>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</si>
  <si>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</si>
  <si>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</si>
  <si>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</si>
  <si>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</si>
  <si>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</si>
  <si>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</si>
  <si>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</si>
  <si>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</si>
  <si>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</si>
  <si>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</si>
  <si>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</si>
  <si>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</si>
  <si>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</si>
  <si>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</si>
  <si>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</si>
  <si>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</si>
  <si>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</si>
  <si>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</si>
  <si>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</si>
  <si>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</si>
  <si>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</si>
  <si>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</si>
  <si>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</si>
  <si>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</si>
  <si>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</si>
  <si>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</si>
  <si>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</si>
  <si>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</si>
  <si>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</si>
  <si>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</si>
  <si>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</si>
  <si>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</si>
  <si>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</si>
  <si>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</si>
  <si>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</si>
  <si>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</si>
  <si>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</si>
  <si>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</si>
  <si>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</si>
  <si>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</si>
  <si>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</si>
  <si>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</si>
  <si>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</si>
  <si>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</si>
  <si>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</si>
  <si>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</si>
  <si>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</si>
  <si>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</si>
  <si>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</si>
  <si>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</si>
  <si>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</si>
  <si>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</si>
  <si>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</si>
  <si>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</si>
  <si>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</si>
  <si>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</si>
  <si>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</si>
  <si>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</si>
  <si>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</si>
  <si>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</si>
  <si>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</si>
  <si>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</si>
  <si>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</si>
  <si>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</si>
  <si>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</si>
  <si>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</si>
  <si>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</si>
  <si>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</si>
  <si>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</si>
  <si>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</si>
  <si>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</si>
  <si>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</si>
  <si>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</si>
  <si>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</si>
  <si>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</si>
  <si>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</si>
  <si>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</si>
  <si>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</si>
  <si>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</si>
  <si>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</si>
  <si>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</si>
  <si>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</si>
  <si>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</si>
  <si>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</si>
  <si>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</si>
  <si>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</si>
  <si>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</si>
  <si>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</si>
  <si>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</si>
  <si>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</si>
  <si>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</si>
  <si>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</si>
  <si>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</si>
  <si>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</si>
  <si>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</si>
  <si>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</si>
  <si>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</si>
  <si>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</si>
  <si>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</si>
  <si>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</si>
  <si>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</si>
  <si>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</si>
  <si>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</si>
  <si>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</si>
  <si>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</si>
  <si>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</si>
  <si>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</si>
  <si>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</si>
  <si>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</si>
  <si>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</si>
  <si>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</si>
  <si>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</si>
  <si>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</si>
  <si>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</si>
  <si>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</si>
  <si>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</si>
  <si>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</si>
  <si>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</si>
  <si>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</si>
  <si>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</si>
  <si>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</si>
  <si>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</si>
  <si>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</si>
  <si>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</si>
  <si>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</si>
  <si>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</si>
  <si>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</si>
  <si>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</si>
  <si>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</si>
  <si>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</si>
  <si>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</si>
  <si>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</si>
  <si>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</si>
  <si>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</si>
  <si>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</si>
  <si>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</si>
  <si>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</si>
  <si>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</si>
  <si>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</si>
  <si>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</si>
  <si>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</si>
  <si>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</si>
  <si>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</si>
  <si>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</si>
  <si>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</si>
  <si>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</si>
  <si>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</si>
  <si>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</si>
  <si>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</si>
  <si>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</si>
  <si>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</si>
  <si>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</si>
  <si>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</si>
  <si>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</si>
  <si>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</si>
  <si>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</si>
  <si>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</si>
  <si>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</si>
  <si>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</si>
  <si>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</si>
  <si>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 xml:space="preserve">No. of items </t>
  </si>
  <si>
    <t>Average Rating</t>
  </si>
  <si>
    <t>KPI's Requirment</t>
  </si>
  <si>
    <t xml:space="preserve">                       </t>
  </si>
  <si>
    <t>Row Labels</t>
  </si>
  <si>
    <t>Total sales by Fat content</t>
  </si>
  <si>
    <t>Total sales  by item type</t>
  </si>
  <si>
    <t>Column Labels</t>
  </si>
  <si>
    <t>Fat content by outlet for total sales</t>
  </si>
  <si>
    <t>total sales by establishment year</t>
  </si>
  <si>
    <t xml:space="preserve">sales  by outlet size </t>
  </si>
  <si>
    <t>outlet location</t>
  </si>
  <si>
    <t>sales</t>
  </si>
  <si>
    <t>sales by outlet location</t>
  </si>
  <si>
    <t>Average of Sales</t>
  </si>
  <si>
    <t>Count of Sales</t>
  </si>
  <si>
    <t xml:space="preserve">All metric by outlet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</si>
</sst>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2" formatCode="&quot;$&quot;0"/>
    <numFmt numFmtId="173" formatCode="0.0"/>
    <numFmt numFmtId="174" formatCode="&quot;$&quot;0.00,,&quot;M&quot;"/>
    <numFmt numFmtId="175" formatCode="&quot;$&quot;0.00,&quot;K&quot;"/>
    <numFmt numFmtId="176"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3">
    <xf numFmtId="0" fontId="0" fillId="0" borderId="0" xfId="0"/>
    <xf numFmtId="0" fontId="0" fillId="0" borderId="0" xfId="0" applyBorder="1"/>
    <xf numFmtId="172" fontId="0" fillId="0" borderId="0" xfId="0" applyNumberFormat="1" applyBorder="1"/>
    <xf numFmtId="173" fontId="0" fillId="0" borderId="0" xfId="0" applyNumberFormat="1" applyBorder="1"/>
    <xf numFmtId="0" fontId="0" fillId="0" borderId="10" xfId="0" applyBorder="1"/>
    <xf numFmtId="0" fontId="0" fillId="0" borderId="11" xfId="0" applyBorder="1"/>
    <xf numFmtId="0" fontId="0" fillId="0" borderId="12" xfId="0" applyNumberFormat="1" applyBorder="1"/>
    <xf numFmtId="0" fontId="0" fillId="0" borderId="13"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33" borderId="16" xfId="0" applyFill="1" applyBorder="1"/>
    <xf numFmtId="0" fontId="0" fillId="33" borderId="17" xfId="0" applyFill="1" applyBorder="1" applyAlignment="1">
      <alignment horizontal="center"/>
    </xf>
    <xf numFmtId="0" fontId="0" fillId="33" borderId="17" xfId="0" applyFill="1" applyBorder="1"/>
    <xf numFmtId="0" fontId="0" fillId="33" borderId="18" xfId="0" applyFill="1" applyBorder="1"/>
    <xf numFmtId="0" fontId="0" fillId="0" borderId="23" xfId="0" applyNumberFormat="1" applyBorder="1"/>
    <xf numFmtId="0" fontId="0" fillId="0" borderId="13" xfId="0" applyNumberFormat="1" applyBorder="1"/>
    <xf numFmtId="0" fontId="0" fillId="0" borderId="12" xfId="0" applyBorder="1"/>
    <xf numFmtId="0" fontId="0" fillId="0" borderId="23" xfId="0" applyBorder="1"/>
    <xf numFmtId="174" fontId="18" fillId="0" borderId="19" xfId="0" applyNumberFormat="1" applyFont="1" applyBorder="1"/>
    <xf numFmtId="0" fontId="0" fillId="0" borderId="24" xfId="0" applyBorder="1" applyAlignment="1">
      <alignment horizontal="left"/>
    </xf>
    <xf numFmtId="0" fontId="0" fillId="0" borderId="15" xfId="0" applyBorder="1" applyAlignment="1">
      <alignment horizontal="left"/>
    </xf>
    <xf numFmtId="0" fontId="0" fillId="33" borderId="26" xfId="0" applyFill="1" applyBorder="1"/>
    <xf numFmtId="0" fontId="0" fillId="33" borderId="27" xfId="0" applyFill="1" applyBorder="1"/>
    <xf numFmtId="0" fontId="0" fillId="0" borderId="27" xfId="0" applyBorder="1"/>
    <xf numFmtId="0" fontId="0" fillId="0" borderId="28" xfId="0" applyBorder="1"/>
    <xf numFmtId="0" fontId="0" fillId="0" borderId="29" xfId="0" applyBorder="1"/>
    <xf numFmtId="0" fontId="0" fillId="0" borderId="32" xfId="0" applyBorder="1"/>
    <xf numFmtId="0" fontId="0" fillId="0" borderId="33" xfId="0" applyBorder="1"/>
    <xf numFmtId="0" fontId="0" fillId="0" borderId="25" xfId="0" pivotButton="1" applyBorder="1"/>
    <xf numFmtId="0" fontId="0" fillId="0" borderId="34" xfId="0" applyBorder="1" applyAlignment="1">
      <alignment horizontal="left"/>
    </xf>
    <xf numFmtId="0" fontId="0" fillId="0" borderId="35" xfId="0" applyBorder="1" applyAlignment="1">
      <alignment horizontal="left"/>
    </xf>
    <xf numFmtId="0" fontId="0" fillId="0" borderId="25" xfId="0" applyBorder="1"/>
    <xf numFmtId="175" fontId="0" fillId="0" borderId="34" xfId="0" applyNumberFormat="1" applyBorder="1"/>
    <xf numFmtId="175" fontId="0" fillId="0" borderId="35" xfId="0" applyNumberFormat="1" applyBorder="1"/>
    <xf numFmtId="0" fontId="0" fillId="33" borderId="27" xfId="0" applyFill="1" applyBorder="1" applyAlignment="1">
      <alignment horizontal="center"/>
    </xf>
    <xf numFmtId="0" fontId="0" fillId="33" borderId="36" xfId="0" applyFill="1" applyBorder="1" applyAlignment="1"/>
    <xf numFmtId="0" fontId="0" fillId="0" borderId="30" xfId="0" applyBorder="1"/>
    <xf numFmtId="175" fontId="0" fillId="0" borderId="29" xfId="0" applyNumberFormat="1" applyBorder="1"/>
    <xf numFmtId="175" fontId="0" fillId="0" borderId="33" xfId="0" applyNumberFormat="1" applyBorder="1"/>
    <xf numFmtId="175" fontId="0" fillId="0" borderId="37" xfId="0" applyNumberFormat="1" applyBorder="1"/>
    <xf numFmtId="0" fontId="0" fillId="0" borderId="37" xfId="0" applyBorder="1" applyAlignment="1">
      <alignment horizontal="left"/>
    </xf>
    <xf numFmtId="0" fontId="0" fillId="0" borderId="26" xfId="0" applyBorder="1"/>
    <xf numFmtId="0" fontId="0" fillId="0" borderId="38" xfId="0" applyBorder="1"/>
    <xf numFmtId="175" fontId="0" fillId="0" borderId="26" xfId="0" applyNumberFormat="1" applyBorder="1"/>
    <xf numFmtId="175" fontId="0" fillId="0" borderId="14" xfId="0" applyNumberFormat="1" applyBorder="1"/>
    <xf numFmtId="175" fontId="0" fillId="0" borderId="24" xfId="0" applyNumberFormat="1" applyBorder="1"/>
    <xf numFmtId="175" fontId="0" fillId="0" borderId="15" xfId="0" applyNumberFormat="1" applyBorder="1"/>
    <xf numFmtId="0" fontId="0" fillId="0" borderId="11" xfId="0" pivotButton="1" applyBorder="1"/>
    <xf numFmtId="0" fontId="0" fillId="0" borderId="14" xfId="0" applyBorder="1" applyAlignment="1">
      <alignment horizontal="left"/>
    </xf>
    <xf numFmtId="175" fontId="0" fillId="0" borderId="28" xfId="0" applyNumberFormat="1" applyBorder="1"/>
    <xf numFmtId="175" fontId="0" fillId="0" borderId="31" xfId="0" applyNumberFormat="1" applyBorder="1"/>
    <xf numFmtId="0" fontId="0" fillId="0" borderId="39" xfId="0" applyBorder="1"/>
    <xf numFmtId="175" fontId="0" fillId="0" borderId="30" xfId="0" applyNumberFormat="1" applyBorder="1"/>
    <xf numFmtId="0" fontId="0" fillId="33" borderId="36" xfId="0" applyFill="1" applyBorder="1" applyAlignment="1">
      <alignment vertical="center"/>
    </xf>
    <xf numFmtId="0" fontId="0" fillId="0" borderId="31" xfId="0" applyBorder="1"/>
    <xf numFmtId="0" fontId="0" fillId="33" borderId="38" xfId="0" applyFill="1" applyBorder="1" applyAlignment="1">
      <alignment horizontal="center"/>
    </xf>
    <xf numFmtId="0" fontId="0" fillId="33" borderId="40" xfId="0" applyFill="1" applyBorder="1" applyAlignment="1">
      <alignment horizontal="center"/>
    </xf>
    <xf numFmtId="0" fontId="0" fillId="33" borderId="39" xfId="0" applyFill="1" applyBorder="1" applyAlignment="1">
      <alignment horizontal="center"/>
    </xf>
    <xf numFmtId="0" fontId="0" fillId="33" borderId="26" xfId="0" applyFill="1" applyBorder="1" applyAlignment="1">
      <alignment horizontal="center"/>
    </xf>
    <xf numFmtId="0" fontId="0" fillId="33" borderId="28" xfId="0" applyFill="1" applyBorder="1" applyAlignment="1">
      <alignment horizontal="center"/>
    </xf>
    <xf numFmtId="0" fontId="0" fillId="33" borderId="26" xfId="0" applyFill="1" applyBorder="1" applyAlignment="1">
      <alignment horizontal="center"/>
    </xf>
    <xf numFmtId="0" fontId="0" fillId="33" borderId="28" xfId="0" applyFill="1" applyBorder="1" applyAlignment="1">
      <alignment horizontal="center"/>
    </xf>
    <xf numFmtId="0" fontId="0" fillId="0" borderId="40" xfId="0" applyBorder="1"/>
    <xf numFmtId="176" fontId="0" fillId="0" borderId="34" xfId="0" applyNumberFormat="1" applyBorder="1"/>
    <xf numFmtId="176" fontId="0" fillId="0" borderId="37" xfId="0" applyNumberFormat="1" applyBorder="1"/>
    <xf numFmtId="176" fontId="0" fillId="0" borderId="35" xfId="0" applyNumberFormat="1" applyBorder="1"/>
    <xf numFmtId="1" fontId="0" fillId="0" borderId="34" xfId="0" applyNumberFormat="1" applyBorder="1"/>
    <xf numFmtId="1" fontId="0" fillId="0" borderId="37" xfId="0" applyNumberFormat="1" applyBorder="1"/>
    <xf numFmtId="1" fontId="0" fillId="0" borderId="35"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font>
        <b/>
        <color theme="1"/>
      </font>
      <border>
        <bottom style="thin">
          <color theme="7"/>
        </bottom>
        <vertical/>
        <horizontal/>
      </border>
    </dxf>
    <dxf>
      <font>
        <color theme="1"/>
      </font>
      <fill>
        <patternFill>
          <bgColor rgb="FFFFD200"/>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75" formatCode="&quot;$&quot;0.00,&quot;K&quo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SlicerStyleLight4 2" pivot="0" table="0" count="10" xr9:uid="{69251CB0-2A74-4D1D-84BE-41B5B667CEC3}">
      <tableStyleElement type="wholeTable" dxfId="1128"/>
      <tableStyleElement type="headerRow" dxfId="1127"/>
    </tableStyle>
  </tableStyles>
  <colors>
    <mruColors>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137864345904132E-2"/>
          <c:y val="0.22086046335554205"/>
          <c:w val="0.46702909011373578"/>
          <c:h val="0.77838181685622632"/>
        </c:manualLayout>
      </c:layout>
      <c:doughnutChart>
        <c:varyColors val="1"/>
        <c:ser>
          <c:idx val="0"/>
          <c:order val="0"/>
          <c:tx>
            <c:strRef>
              <c:f>'Sheet Design'!$C$11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Design'!$B$12:$B$13</c:f>
              <c:strCache>
                <c:ptCount val="2"/>
                <c:pt idx="0">
                  <c:v>Low Fat</c:v>
                </c:pt>
                <c:pt idx="1">
                  <c:v>Regular</c:v>
                </c:pt>
              </c:strCache>
            </c:strRef>
          </c:cat>
          <c:val>
            <c:numRef>
              <c:f>'Sheet Design'!$C$12:$C$13</c:f>
              <c:numCache>
                <c:formatCode>"$"0.00,"K"</c:formatCode>
                <c:ptCount val="2"/>
                <c:pt idx="0">
                  <c:v>776319.68840000057</c:v>
                </c:pt>
                <c:pt idx="1">
                  <c:v>425361.8043999995</c:v>
                </c:pt>
              </c:numCache>
            </c:numRef>
          </c:val>
          <c:extLst>
            <c:ext xmlns:c16="http://schemas.microsoft.com/office/drawing/2014/chart" uri="{C3380CC4-5D6E-409C-BE32-E72D297353CC}">
              <c16:uniqueId val="{00000003-B40C-49C6-BAA5-45D148C80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273116113011123"/>
          <c:y val="7.2169103862017248E-2"/>
          <c:w val="0.3668967084700252"/>
          <c:h val="0.80394366454214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Design'!$L$5:$L$6</c:f>
              <c:strCache>
                <c:ptCount val="1"/>
                <c:pt idx="0">
                  <c:v>Regular</c:v>
                </c:pt>
              </c:strCache>
            </c:strRef>
          </c:tx>
          <c:spPr>
            <a:solidFill>
              <a:schemeClr val="accent1"/>
            </a:solidFill>
            <a:ln>
              <a:noFill/>
            </a:ln>
            <a:effectLst/>
          </c:spPr>
          <c:invertIfNegative val="0"/>
          <c:cat>
            <c:strRef>
              <c:f>'Sheet Design'!$K$7:$K$9</c:f>
              <c:strCache>
                <c:ptCount val="3"/>
                <c:pt idx="0">
                  <c:v>Tier 1</c:v>
                </c:pt>
                <c:pt idx="1">
                  <c:v>Tier 2</c:v>
                </c:pt>
                <c:pt idx="2">
                  <c:v>Tier 3</c:v>
                </c:pt>
              </c:strCache>
            </c:strRef>
          </c:cat>
          <c:val>
            <c:numRef>
              <c:f>'Sheet Design'!$L$7:$L$9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3-E4F8-4DDD-A603-10D876317E1E}"/>
            </c:ext>
          </c:extLst>
        </c:ser>
        <c:ser>
          <c:idx val="1"/>
          <c:order val="1"/>
          <c:tx>
            <c:strRef>
              <c:f>'Sheet Design'!$M$5:$M$6</c:f>
              <c:strCache>
                <c:ptCount val="1"/>
                <c:pt idx="0">
                  <c:v>Low Fat</c:v>
                </c:pt>
              </c:strCache>
            </c:strRef>
          </c:tx>
          <c:spPr>
            <a:solidFill>
              <a:schemeClr val="accent2"/>
            </a:solidFill>
            <a:ln>
              <a:noFill/>
            </a:ln>
            <a:effectLst/>
          </c:spPr>
          <c:invertIfNegative val="0"/>
          <c:cat>
            <c:strRef>
              <c:f>'Sheet Design'!$K$7:$K$9</c:f>
              <c:strCache>
                <c:ptCount val="3"/>
                <c:pt idx="0">
                  <c:v>Tier 1</c:v>
                </c:pt>
                <c:pt idx="1">
                  <c:v>Tier 2</c:v>
                </c:pt>
                <c:pt idx="2">
                  <c:v>Tier 3</c:v>
                </c:pt>
              </c:strCache>
            </c:strRef>
          </c:cat>
          <c:val>
            <c:numRef>
              <c:f>'Sheet Design'!$M$7:$M$9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E4F8-4DDD-A603-10D876317E1E}"/>
            </c:ext>
          </c:extLst>
        </c:ser>
        <c:dLbls>
          <c:showLegendKey val="0"/>
          <c:showVal val="0"/>
          <c:showCatName val="0"/>
          <c:showSerName val="0"/>
          <c:showPercent val="0"/>
          <c:showBubbleSize val="0"/>
        </c:dLbls>
        <c:gapWidth val="182"/>
        <c:axId val="373010896"/>
        <c:axId val="373011856"/>
      </c:barChart>
      <c:catAx>
        <c:axId val="373010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11856"/>
        <c:crosses val="autoZero"/>
        <c:auto val="1"/>
        <c:lblAlgn val="ctr"/>
        <c:lblOffset val="100"/>
        <c:noMultiLvlLbl val="0"/>
      </c:catAx>
      <c:valAx>
        <c:axId val="373011856"/>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1089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4"/>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8399171810117"/>
          <c:y val="0.14046562290193954"/>
          <c:w val="0.64393570016433976"/>
          <c:h val="0.77221748157285897"/>
        </c:manualLayout>
      </c:layout>
      <c:barChart>
        <c:barDir val="bar"/>
        <c:grouping val="clustered"/>
        <c:varyColors val="0"/>
        <c:ser>
          <c:idx val="0"/>
          <c:order val="0"/>
          <c:tx>
            <c:strRef>
              <c:f>'Sheet Design'!$I$12</c:f>
              <c:strCache>
                <c:ptCount val="1"/>
                <c:pt idx="0">
                  <c:v>Total</c:v>
                </c:pt>
              </c:strCache>
            </c:strRef>
          </c:tx>
          <c:spPr>
            <a:solidFill>
              <a:srgbClr val="D09E00"/>
            </a:solidFill>
            <a:ln>
              <a:noFill/>
            </a:ln>
            <a:effectLst/>
          </c:spPr>
          <c:invertIfNegative val="0"/>
          <c:cat>
            <c:strRef>
              <c:f>'Sheet Design'!$H$13:$H$28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Design'!$I$13:$I$28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D9B0-424A-A4B0-728C345F114D}"/>
            </c:ext>
          </c:extLst>
        </c:ser>
        <c:dLbls>
          <c:showLegendKey val="0"/>
          <c:showVal val="0"/>
          <c:showCatName val="0"/>
          <c:showSerName val="0"/>
          <c:showPercent val="0"/>
          <c:showBubbleSize val="0"/>
        </c:dLbls>
        <c:gapWidth val="182"/>
        <c:axId val="1167400864"/>
        <c:axId val="1167377344"/>
      </c:barChart>
      <c:catAx>
        <c:axId val="1167400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377344"/>
        <c:crosses val="autoZero"/>
        <c:auto val="1"/>
        <c:lblAlgn val="ctr"/>
        <c:lblOffset val="100"/>
        <c:noMultiLvlLbl val="0"/>
      </c:catAx>
      <c:valAx>
        <c:axId val="1167377344"/>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40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Design'!$C$24</c:f>
              <c:strCache>
                <c:ptCount val="1"/>
                <c:pt idx="0">
                  <c:v>Total</c:v>
                </c:pt>
              </c:strCache>
            </c:strRef>
          </c:tx>
          <c:spPr>
            <a:solidFill>
              <a:schemeClr val="accent1"/>
            </a:solidFill>
            <a:ln w="25400">
              <a:noFill/>
            </a:ln>
            <a:effectLst/>
          </c:spPr>
          <c:cat>
            <c:strRef>
              <c:f>'Sheet Design'!$B$25:$B$33</c:f>
              <c:strCache>
                <c:ptCount val="9"/>
                <c:pt idx="0">
                  <c:v>2011</c:v>
                </c:pt>
                <c:pt idx="1">
                  <c:v>2012</c:v>
                </c:pt>
                <c:pt idx="2">
                  <c:v>2014</c:v>
                </c:pt>
                <c:pt idx="3">
                  <c:v>2015</c:v>
                </c:pt>
                <c:pt idx="4">
                  <c:v>2016</c:v>
                </c:pt>
                <c:pt idx="5">
                  <c:v>2017</c:v>
                </c:pt>
                <c:pt idx="6">
                  <c:v>2018</c:v>
                </c:pt>
                <c:pt idx="7">
                  <c:v>2020</c:v>
                </c:pt>
                <c:pt idx="8">
                  <c:v>2022</c:v>
                </c:pt>
              </c:strCache>
            </c:strRef>
          </c:cat>
          <c:val>
            <c:numRef>
              <c:f>'Sheet Design'!$C$25:$C$33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349B-4A10-840D-540729DAB852}"/>
            </c:ext>
          </c:extLst>
        </c:ser>
        <c:dLbls>
          <c:showLegendKey val="0"/>
          <c:showVal val="0"/>
          <c:showCatName val="0"/>
          <c:showSerName val="0"/>
          <c:showPercent val="0"/>
          <c:showBubbleSize val="0"/>
        </c:dLbls>
        <c:axId val="1255181824"/>
        <c:axId val="1255170784"/>
      </c:areaChart>
      <c:catAx>
        <c:axId val="125518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0784"/>
        <c:crosses val="autoZero"/>
        <c:auto val="1"/>
        <c:lblAlgn val="ctr"/>
        <c:lblOffset val="100"/>
        <c:noMultiLvlLbl val="0"/>
      </c:catAx>
      <c:valAx>
        <c:axId val="1255170784"/>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818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Design'!$C$40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Design'!$B$41:$B$43</c:f>
              <c:strCache>
                <c:ptCount val="3"/>
                <c:pt idx="0">
                  <c:v>High</c:v>
                </c:pt>
                <c:pt idx="1">
                  <c:v>Medium</c:v>
                </c:pt>
                <c:pt idx="2">
                  <c:v>Small</c:v>
                </c:pt>
              </c:strCache>
            </c:strRef>
          </c:cat>
          <c:val>
            <c:numRef>
              <c:f>'Sheet Design'!$C$41:$C$43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D26B-468A-9DCB-0D2ADC489D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Design'!$C$51</c:f>
              <c:strCache>
                <c:ptCount val="1"/>
                <c:pt idx="0">
                  <c:v>Total</c:v>
                </c:pt>
              </c:strCache>
            </c:strRef>
          </c:tx>
          <c:spPr>
            <a:solidFill>
              <a:schemeClr val="accent1"/>
            </a:solidFill>
            <a:ln>
              <a:noFill/>
            </a:ln>
            <a:effectLst/>
          </c:spPr>
          <c:invertIfNegative val="0"/>
          <c:cat>
            <c:strRef>
              <c:f>'Sheet Design'!$B$52:$B$55</c:f>
              <c:strCache>
                <c:ptCount val="4"/>
                <c:pt idx="0">
                  <c:v>Grocery Store</c:v>
                </c:pt>
                <c:pt idx="1">
                  <c:v>Supermarket Type3</c:v>
                </c:pt>
                <c:pt idx="2">
                  <c:v>Supermarket Type2</c:v>
                </c:pt>
                <c:pt idx="3">
                  <c:v>Supermarket Type1</c:v>
                </c:pt>
              </c:strCache>
            </c:strRef>
          </c:cat>
          <c:val>
            <c:numRef>
              <c:f>'Sheet Design'!$C$52:$C$55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32C9-4CC8-9A16-57FE7B748574}"/>
            </c:ext>
          </c:extLst>
        </c:ser>
        <c:dLbls>
          <c:showLegendKey val="0"/>
          <c:showVal val="0"/>
          <c:showCatName val="0"/>
          <c:showSerName val="0"/>
          <c:showPercent val="0"/>
          <c:showBubbleSize val="0"/>
        </c:dLbls>
        <c:gapWidth val="182"/>
        <c:axId val="1250299360"/>
        <c:axId val="1250300320"/>
      </c:barChart>
      <c:catAx>
        <c:axId val="125029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00320"/>
        <c:crosses val="autoZero"/>
        <c:auto val="1"/>
        <c:lblAlgn val="ctr"/>
        <c:lblOffset val="100"/>
        <c:noMultiLvlLbl val="0"/>
      </c:catAx>
      <c:valAx>
        <c:axId val="125030032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25029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Design'!$C$59</c:f>
              <c:strCache>
                <c:ptCount val="1"/>
                <c:pt idx="0">
                  <c:v>Total</c:v>
                </c:pt>
              </c:strCache>
            </c:strRef>
          </c:tx>
          <c:spPr>
            <a:solidFill>
              <a:schemeClr val="accent1"/>
            </a:solidFill>
            <a:ln>
              <a:noFill/>
            </a:ln>
            <a:effectLst/>
          </c:spPr>
          <c:invertIfNegative val="0"/>
          <c:cat>
            <c:strRef>
              <c:f>'Sheet Design'!$B$60:$B$63</c:f>
              <c:strCache>
                <c:ptCount val="4"/>
                <c:pt idx="0">
                  <c:v>Grocery Store</c:v>
                </c:pt>
                <c:pt idx="1">
                  <c:v>Supermarket Type3</c:v>
                </c:pt>
                <c:pt idx="2">
                  <c:v>Supermarket Type2</c:v>
                </c:pt>
                <c:pt idx="3">
                  <c:v>Supermarket Type1</c:v>
                </c:pt>
              </c:strCache>
            </c:strRef>
          </c:cat>
          <c:val>
            <c:numRef>
              <c:f>'Sheet Design'!$C$60:$C$63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A32C-497C-84A3-6620A4D63617}"/>
            </c:ext>
          </c:extLst>
        </c:ser>
        <c:dLbls>
          <c:showLegendKey val="0"/>
          <c:showVal val="0"/>
          <c:showCatName val="0"/>
          <c:showSerName val="0"/>
          <c:showPercent val="0"/>
          <c:showBubbleSize val="0"/>
        </c:dLbls>
        <c:gapWidth val="182"/>
        <c:axId val="1155202560"/>
        <c:axId val="1155205920"/>
      </c:barChart>
      <c:catAx>
        <c:axId val="115520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5920"/>
        <c:crosses val="autoZero"/>
        <c:auto val="1"/>
        <c:lblAlgn val="ctr"/>
        <c:lblOffset val="100"/>
        <c:noMultiLvlLbl val="0"/>
      </c:catAx>
      <c:valAx>
        <c:axId val="1155205920"/>
        <c:scaling>
          <c:orientation val="minMax"/>
        </c:scaling>
        <c:delete val="1"/>
        <c:axPos val="b"/>
        <c:numFmt formatCode="\$0" sourceLinked="1"/>
        <c:majorTickMark val="none"/>
        <c:minorTickMark val="none"/>
        <c:tickLblPos val="nextTo"/>
        <c:crossAx val="11552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Design'!$C$69</c:f>
              <c:strCache>
                <c:ptCount val="1"/>
                <c:pt idx="0">
                  <c:v>Total</c:v>
                </c:pt>
              </c:strCache>
            </c:strRef>
          </c:tx>
          <c:spPr>
            <a:solidFill>
              <a:schemeClr val="accent1"/>
            </a:solidFill>
            <a:ln>
              <a:noFill/>
            </a:ln>
            <a:effectLst/>
          </c:spPr>
          <c:invertIfNegative val="0"/>
          <c:cat>
            <c:strRef>
              <c:f>'Sheet Design'!$B$70:$B$73</c:f>
              <c:strCache>
                <c:ptCount val="4"/>
                <c:pt idx="0">
                  <c:v>Grocery Store</c:v>
                </c:pt>
                <c:pt idx="1">
                  <c:v>Supermarket Type3</c:v>
                </c:pt>
                <c:pt idx="2">
                  <c:v>Supermarket Type2</c:v>
                </c:pt>
                <c:pt idx="3">
                  <c:v>Supermarket Type1</c:v>
                </c:pt>
              </c:strCache>
            </c:strRef>
          </c:cat>
          <c:val>
            <c:numRef>
              <c:f>'Sheet Design'!$C$70:$C$73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289A-4B61-8353-491C34649DAE}"/>
            </c:ext>
          </c:extLst>
        </c:ser>
        <c:dLbls>
          <c:showLegendKey val="0"/>
          <c:showVal val="0"/>
          <c:showCatName val="0"/>
          <c:showSerName val="0"/>
          <c:showPercent val="0"/>
          <c:showBubbleSize val="0"/>
        </c:dLbls>
        <c:gapWidth val="182"/>
        <c:axId val="1256319184"/>
        <c:axId val="1256318224"/>
      </c:barChart>
      <c:catAx>
        <c:axId val="125631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18224"/>
        <c:crosses val="autoZero"/>
        <c:auto val="1"/>
        <c:lblAlgn val="ctr"/>
        <c:lblOffset val="100"/>
        <c:noMultiLvlLbl val="0"/>
      </c:catAx>
      <c:valAx>
        <c:axId val="1256318224"/>
        <c:scaling>
          <c:orientation val="minMax"/>
        </c:scaling>
        <c:delete val="1"/>
        <c:axPos val="b"/>
        <c:numFmt formatCode="0" sourceLinked="1"/>
        <c:majorTickMark val="none"/>
        <c:minorTickMark val="none"/>
        <c:tickLblPos val="nextTo"/>
        <c:crossAx val="125631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331597222222231"/>
              <c:y val="9.67397928092625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575520833333333"/>
              <c:y val="-9.673979280926267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45399305555555"/>
          <c:y val="0.17635994312411132"/>
          <c:w val="0.66546657986111113"/>
          <c:h val="0.77860806418850292"/>
        </c:manualLayout>
      </c:layout>
      <c:doughnutChart>
        <c:varyColors val="1"/>
        <c:ser>
          <c:idx val="0"/>
          <c:order val="0"/>
          <c:tx>
            <c:strRef>
              <c:f>'Sheet Design'!$C$11</c:f>
              <c:strCache>
                <c:ptCount val="1"/>
                <c:pt idx="0">
                  <c:v>Total</c:v>
                </c:pt>
              </c:strCache>
            </c:strRef>
          </c:tx>
          <c:spPr>
            <a:solidFill>
              <a:srgbClr val="D09E00"/>
            </a:solidFill>
          </c:spPr>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4331597222222231"/>
                  <c:y val="9.6739792809262523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1575520833333333"/>
                  <c:y val="-9.6739792809262676E-2"/>
                </c:manualLayout>
              </c:layout>
              <c:showLegendKey val="0"/>
              <c:showVal val="1"/>
              <c:showCatName val="0"/>
              <c:showSerName val="0"/>
              <c:showPercent val="1"/>
              <c:showBubbleSize val="0"/>
              <c:extLst>
                <c:ext xmlns:c15="http://schemas.microsoft.com/office/drawing/2012/chart" uri="{CE6537A1-D6FC-4f65-9D91-7224C49458BB}"/>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Design'!$B$12:$B$13</c:f>
              <c:strCache>
                <c:ptCount val="2"/>
                <c:pt idx="0">
                  <c:v>Low Fat</c:v>
                </c:pt>
                <c:pt idx="1">
                  <c:v>Regular</c:v>
                </c:pt>
              </c:strCache>
            </c:strRef>
          </c:cat>
          <c:val>
            <c:numRef>
              <c:f>'Sheet Design'!$C$12:$C$13</c:f>
              <c:numCache>
                <c:formatCode>"$"0.00,"K"</c:formatCode>
                <c:ptCount val="2"/>
                <c:pt idx="0">
                  <c:v>776319.68840000057</c:v>
                </c:pt>
                <c:pt idx="1">
                  <c:v>425361.8043999995</c:v>
                </c:pt>
              </c:numCache>
            </c:numRef>
          </c:val>
          <c:extLst>
            <c:ext xmlns:c16="http://schemas.microsoft.com/office/drawing/2014/chart" uri="{C3380CC4-5D6E-409C-BE32-E72D297353CC}">
              <c16:uniqueId val="{00000005-CD53-4FE9-8A13-859F9E59AD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9.4046006944444427E-2"/>
          <c:y val="3.8695917123705056E-2"/>
          <c:w val="0.6575672743055555"/>
          <c:h val="0.18622486288848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4.80348998131934E-2"/>
              <c:y val="-2.59876628037655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74018490032379"/>
                  <c:h val="0.15275252152071217"/>
                </c:manualLayout>
              </c15:layout>
            </c:ext>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1550093781523"/>
                  <c:h val="0.15275252152071217"/>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09586328737996"/>
                  <c:h val="0.15275252152071217"/>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93669491900446"/>
                  <c:h val="0.15275252152071217"/>
                </c:manualLayout>
              </c15:layout>
            </c:ext>
          </c:extLst>
        </c:dLbl>
      </c:pivotFmt>
      <c:pivotFmt>
        <c:idx val="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0085581549454"/>
                  <c:h val="0.15275252152071217"/>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1730693657995"/>
                  <c:h val="0.15275252152071217"/>
                </c:manualLayout>
              </c15:layout>
            </c:ext>
          </c:extLst>
        </c:dLbl>
      </c:pivotFmt>
    </c:pivotFmts>
    <c:plotArea>
      <c:layout>
        <c:manualLayout>
          <c:layoutTarget val="inner"/>
          <c:xMode val="edge"/>
          <c:yMode val="edge"/>
          <c:x val="0.17059235352475935"/>
          <c:y val="0.21292926593267361"/>
          <c:w val="0.73487496364287608"/>
          <c:h val="0.64125308408254578"/>
        </c:manualLayout>
      </c:layout>
      <c:barChart>
        <c:barDir val="bar"/>
        <c:grouping val="clustered"/>
        <c:varyColors val="0"/>
        <c:ser>
          <c:idx val="0"/>
          <c:order val="0"/>
          <c:tx>
            <c:strRef>
              <c:f>'Sheet Design'!$L$5:$L$6</c:f>
              <c:strCache>
                <c:ptCount val="1"/>
                <c:pt idx="0">
                  <c:v>Regular</c:v>
                </c:pt>
              </c:strCache>
            </c:strRef>
          </c:tx>
          <c:spPr>
            <a:solidFill>
              <a:schemeClr val="accent6">
                <a:lumMod val="75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2201730693657995"/>
                      <c:h val="0.15275252152071217"/>
                    </c:manualLayout>
                  </c15:layout>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430085581549454"/>
                      <c:h val="0.15275252152071217"/>
                    </c:manualLayout>
                  </c15:layout>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4293669491900446"/>
                      <c:h val="0.1527525215207121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Design'!$K$7:$K$9</c:f>
              <c:strCache>
                <c:ptCount val="3"/>
                <c:pt idx="0">
                  <c:v>Tier 1</c:v>
                </c:pt>
                <c:pt idx="1">
                  <c:v>Tier 2</c:v>
                </c:pt>
                <c:pt idx="2">
                  <c:v>Tier 3</c:v>
                </c:pt>
              </c:strCache>
            </c:strRef>
          </c:cat>
          <c:val>
            <c:numRef>
              <c:f>'Sheet Design'!$L$7:$L$9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8-A970-415B-8C4A-08EB740A5592}"/>
            </c:ext>
          </c:extLst>
        </c:ser>
        <c:ser>
          <c:idx val="1"/>
          <c:order val="1"/>
          <c:tx>
            <c:strRef>
              <c:f>'Sheet Design'!$M$5:$M$6</c:f>
              <c:strCache>
                <c:ptCount val="1"/>
                <c:pt idx="0">
                  <c:v>Low Fat</c:v>
                </c:pt>
              </c:strCache>
            </c:strRef>
          </c:tx>
          <c:spPr>
            <a:solidFill>
              <a:srgbClr val="D09E0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8609586328737996"/>
                      <c:h val="0.15275252152071217"/>
                    </c:manualLayout>
                  </c15:layout>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791550093781523"/>
                      <c:h val="0.15275252152071217"/>
                    </c:manualLayout>
                  </c15:layout>
                </c:ext>
              </c:extLst>
            </c:dLbl>
            <c:dLbl>
              <c:idx val="2"/>
              <c:layout>
                <c:manualLayout>
                  <c:x val="4.80348998131934E-2"/>
                  <c:y val="-2.5987662803765575E-17"/>
                </c:manualLayout>
              </c:layout>
              <c:showLegendKey val="0"/>
              <c:showVal val="1"/>
              <c:showCatName val="0"/>
              <c:showSerName val="0"/>
              <c:showPercent val="0"/>
              <c:showBubbleSize val="0"/>
              <c:extLst>
                <c:ext xmlns:c15="http://schemas.microsoft.com/office/drawing/2012/chart" uri="{CE6537A1-D6FC-4f65-9D91-7224C49458BB}">
                  <c15:layout>
                    <c:manualLayout>
                      <c:w val="0.24774018490032379"/>
                      <c:h val="0.1527525215207121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Design'!$K$7:$K$9</c:f>
              <c:strCache>
                <c:ptCount val="3"/>
                <c:pt idx="0">
                  <c:v>Tier 1</c:v>
                </c:pt>
                <c:pt idx="1">
                  <c:v>Tier 2</c:v>
                </c:pt>
                <c:pt idx="2">
                  <c:v>Tier 3</c:v>
                </c:pt>
              </c:strCache>
            </c:strRef>
          </c:cat>
          <c:val>
            <c:numRef>
              <c:f>'Sheet Design'!$M$7:$M$9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A970-415B-8C4A-08EB740A5592}"/>
            </c:ext>
          </c:extLst>
        </c:ser>
        <c:dLbls>
          <c:showLegendKey val="0"/>
          <c:showVal val="0"/>
          <c:showCatName val="0"/>
          <c:showSerName val="0"/>
          <c:showPercent val="0"/>
          <c:showBubbleSize val="0"/>
        </c:dLbls>
        <c:gapWidth val="60"/>
        <c:axId val="373010896"/>
        <c:axId val="373011856"/>
      </c:barChart>
      <c:catAx>
        <c:axId val="373010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11856"/>
        <c:crosses val="autoZero"/>
        <c:auto val="1"/>
        <c:lblAlgn val="ctr"/>
        <c:lblOffset val="100"/>
        <c:noMultiLvlLbl val="0"/>
      </c:catAx>
      <c:valAx>
        <c:axId val="373011856"/>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1089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7"/>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456828787953698"/>
          <c:y val="7.7274035035329522E-2"/>
          <c:w val="0.44272960252550575"/>
          <c:h val="0.84130721965385424"/>
        </c:manualLayout>
      </c:layout>
      <c:barChart>
        <c:barDir val="bar"/>
        <c:grouping val="clustered"/>
        <c:varyColors val="0"/>
        <c:ser>
          <c:idx val="0"/>
          <c:order val="0"/>
          <c:tx>
            <c:strRef>
              <c:f>'Sheet Design'!$I$12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Design'!$H$13:$H$28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Design'!$I$13:$I$28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1775-43E0-B3F6-8921B9798E86}"/>
            </c:ext>
          </c:extLst>
        </c:ser>
        <c:dLbls>
          <c:showLegendKey val="0"/>
          <c:showVal val="0"/>
          <c:showCatName val="0"/>
          <c:showSerName val="0"/>
          <c:showPercent val="0"/>
          <c:showBubbleSize val="0"/>
        </c:dLbls>
        <c:gapWidth val="60"/>
        <c:axId val="1167400864"/>
        <c:axId val="1167377344"/>
      </c:barChart>
      <c:catAx>
        <c:axId val="1167400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Segoe UI Variable Small Semibol" pitchFamily="2" charset="0"/>
                <a:ea typeface="+mn-ea"/>
                <a:cs typeface="+mn-cs"/>
              </a:defRPr>
            </a:pPr>
            <a:endParaRPr lang="en-US"/>
          </a:p>
        </c:txPr>
        <c:crossAx val="1167377344"/>
        <c:crosses val="autoZero"/>
        <c:auto val="1"/>
        <c:lblAlgn val="ctr"/>
        <c:lblOffset val="100"/>
        <c:noMultiLvlLbl val="0"/>
      </c:catAx>
      <c:valAx>
        <c:axId val="1167377344"/>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40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9050">
            <a:solidFill>
              <a:schemeClr val="tx1"/>
            </a:solidFill>
          </a:ln>
          <a:effectLst>
            <a:innerShdw dist="12700" dir="16200000">
              <a:schemeClr val="lt1">
                <a:alpha val="75000"/>
              </a:schemeClr>
            </a:innerShdw>
          </a:effectLst>
        </c:spPr>
        <c:marker>
          <c:symbol val="circle"/>
          <c:size val="5"/>
          <c:spPr>
            <a:solidFill>
              <a:srgbClr val="FFD2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9050">
            <a:solidFill>
              <a:schemeClr val="tx1"/>
            </a:solidFill>
          </a:ln>
          <a:effectLst>
            <a:innerShdw dist="12700" dir="16200000">
              <a:schemeClr val="lt1">
                <a:alpha val="75000"/>
              </a:schemeClr>
            </a:innerShdw>
          </a:effectLst>
        </c:spPr>
        <c:dLbl>
          <c:idx val="0"/>
          <c:layout>
            <c:manualLayout>
              <c:x val="0"/>
              <c:y val="-0.18296624674743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9050">
            <a:solidFill>
              <a:schemeClr val="tx1"/>
            </a:solidFill>
          </a:ln>
          <a:effectLst>
            <a:innerShdw dist="12700" dir="16200000">
              <a:schemeClr val="lt1">
                <a:alpha val="75000"/>
              </a:schemeClr>
            </a:innerShdw>
          </a:effectLst>
        </c:spPr>
        <c:dLbl>
          <c:idx val="0"/>
          <c:layout>
            <c:manualLayout>
              <c:x val="-1.8448640057408691E-2"/>
              <c:y val="-0.23608547967410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tx1"/>
            </a:solidFill>
          </a:ln>
          <a:effectLst>
            <a:innerShdw dist="12700" dir="16200000">
              <a:schemeClr val="lt1">
                <a:alpha val="75000"/>
              </a:schemeClr>
            </a:innerShdw>
          </a:effectLst>
        </c:spPr>
        <c:dLbl>
          <c:idx val="0"/>
          <c:layout>
            <c:manualLayout>
              <c:x val="-4.2277645069931353E-17"/>
              <c:y val="-0.23608547967410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tx1"/>
            </a:solidFill>
          </a:ln>
          <a:effectLst>
            <a:innerShdw dist="12700" dir="16200000">
              <a:schemeClr val="lt1">
                <a:alpha val="75000"/>
              </a:schemeClr>
            </a:innerShdw>
          </a:effectLst>
        </c:spPr>
        <c:dLbl>
          <c:idx val="0"/>
          <c:layout>
            <c:manualLayout>
              <c:x val="4.2277645069931353E-17"/>
              <c:y val="-0.23608547967410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tx1"/>
            </a:solidFill>
          </a:ln>
          <a:effectLst>
            <a:innerShdw dist="12700" dir="16200000">
              <a:schemeClr val="lt1">
                <a:alpha val="75000"/>
              </a:schemeClr>
            </a:innerShdw>
          </a:effectLst>
        </c:spPr>
        <c:dLbl>
          <c:idx val="0"/>
          <c:layout>
            <c:manualLayout>
              <c:x val="-6.9182400215282557E-3"/>
              <c:y val="-0.23018334268225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tx1"/>
            </a:solidFill>
          </a:ln>
          <a:effectLst>
            <a:innerShdw dist="12700" dir="16200000">
              <a:schemeClr val="lt1">
                <a:alpha val="75000"/>
              </a:schemeClr>
            </a:innerShdw>
          </a:effectLst>
        </c:spPr>
        <c:dLbl>
          <c:idx val="0"/>
          <c:layout>
            <c:manualLayout>
              <c:x val="2.3060800071760005E-3"/>
              <c:y val="-0.27740043861707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tx1"/>
            </a:solidFill>
          </a:ln>
          <a:effectLst>
            <a:innerShdw dist="12700" dir="16200000">
              <a:schemeClr val="lt1">
                <a:alpha val="75000"/>
              </a:schemeClr>
            </a:innerShdw>
          </a:effectLst>
        </c:spPr>
        <c:dLbl>
          <c:idx val="0"/>
          <c:layout>
            <c:manualLayout>
              <c:x val="0"/>
              <c:y val="-0.3305196715437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19050">
            <a:solidFill>
              <a:schemeClr val="tx1"/>
            </a:solidFill>
          </a:ln>
          <a:effectLst>
            <a:innerShdw dist="12700" dir="16200000">
              <a:schemeClr val="lt1">
                <a:alpha val="75000"/>
              </a:schemeClr>
            </a:innerShdw>
          </a:effectLst>
        </c:spPr>
        <c:dLbl>
          <c:idx val="0"/>
          <c:layout>
            <c:manualLayout>
              <c:x val="2.3060800071760851E-3"/>
              <c:y val="-0.25969402764152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tx1"/>
            </a:solidFill>
          </a:ln>
          <a:effectLst>
            <a:innerShdw dist="12700" dir="16200000">
              <a:schemeClr val="lt1">
                <a:alpha val="75000"/>
              </a:schemeClr>
            </a:innerShdw>
          </a:effectLst>
        </c:spPr>
        <c:dLbl>
          <c:idx val="0"/>
          <c:layout>
            <c:manualLayout>
              <c:x val="-4.6121600143521702E-3"/>
              <c:y val="-0.23608547967410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67929708502408E-2"/>
          <c:y val="0.19993558770180545"/>
          <c:w val="0.93026414058299522"/>
          <c:h val="0.66314505826152792"/>
        </c:manualLayout>
      </c:layout>
      <c:areaChart>
        <c:grouping val="standard"/>
        <c:varyColors val="0"/>
        <c:ser>
          <c:idx val="0"/>
          <c:order val="0"/>
          <c:tx>
            <c:strRef>
              <c:f>'Sheet Design'!$C$24</c:f>
              <c:strCache>
                <c:ptCount val="1"/>
                <c:pt idx="0">
                  <c:v>Total</c:v>
                </c:pt>
              </c:strCache>
            </c:strRef>
          </c:tx>
          <c:spPr>
            <a:solidFill>
              <a:srgbClr val="FFD200"/>
            </a:solidFill>
            <a:ln w="19050">
              <a:solidFill>
                <a:schemeClr val="tx1"/>
              </a:solidFill>
            </a:ln>
            <a:effectLst>
              <a:innerShdw dist="12700" dir="16200000">
                <a:schemeClr val="lt1">
                  <a:alpha val="75000"/>
                </a:schemeClr>
              </a:innerShdw>
            </a:effectLst>
          </c:spPr>
          <c:dLbls>
            <c:dLbl>
              <c:idx val="0"/>
              <c:layout>
                <c:manualLayout>
                  <c:x val="0"/>
                  <c:y val="-0.18296624674743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A23-487C-BFB1-DD6EC1B29718}"/>
                </c:ext>
              </c:extLst>
            </c:dLbl>
            <c:dLbl>
              <c:idx val="1"/>
              <c:layout>
                <c:manualLayout>
                  <c:x val="-1.8448640057408691E-2"/>
                  <c:y val="-0.236085479674109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A23-487C-BFB1-DD6EC1B29718}"/>
                </c:ext>
              </c:extLst>
            </c:dLbl>
            <c:dLbl>
              <c:idx val="2"/>
              <c:layout>
                <c:manualLayout>
                  <c:x val="-4.2277645069931353E-17"/>
                  <c:y val="-0.23608547967410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A23-487C-BFB1-DD6EC1B29718}"/>
                </c:ext>
              </c:extLst>
            </c:dLbl>
            <c:dLbl>
              <c:idx val="3"/>
              <c:layout>
                <c:manualLayout>
                  <c:x val="4.2277645069931353E-17"/>
                  <c:y val="-0.236085479674109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A23-487C-BFB1-DD6EC1B29718}"/>
                </c:ext>
              </c:extLst>
            </c:dLbl>
            <c:dLbl>
              <c:idx val="4"/>
              <c:layout>
                <c:manualLayout>
                  <c:x val="-6.9182400215282557E-3"/>
                  <c:y val="-0.23018334268225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A23-487C-BFB1-DD6EC1B29718}"/>
                </c:ext>
              </c:extLst>
            </c:dLbl>
            <c:dLbl>
              <c:idx val="5"/>
              <c:layout>
                <c:manualLayout>
                  <c:x val="2.3060800071760005E-3"/>
                  <c:y val="-0.277400438617078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A23-487C-BFB1-DD6EC1B29718}"/>
                </c:ext>
              </c:extLst>
            </c:dLbl>
            <c:dLbl>
              <c:idx val="6"/>
              <c:layout>
                <c:manualLayout>
                  <c:x val="0"/>
                  <c:y val="-0.33051967154375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A23-487C-BFB1-DD6EC1B29718}"/>
                </c:ext>
              </c:extLst>
            </c:dLbl>
            <c:dLbl>
              <c:idx val="7"/>
              <c:layout>
                <c:manualLayout>
                  <c:x val="2.3060800071760851E-3"/>
                  <c:y val="-0.25969402764152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A23-487C-BFB1-DD6EC1B29718}"/>
                </c:ext>
              </c:extLst>
            </c:dLbl>
            <c:dLbl>
              <c:idx val="8"/>
              <c:layout>
                <c:manualLayout>
                  <c:x val="-4.6121600143521702E-3"/>
                  <c:y val="-0.23608547967410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A23-487C-BFB1-DD6EC1B29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Design'!$B$25:$B$33</c:f>
              <c:strCache>
                <c:ptCount val="9"/>
                <c:pt idx="0">
                  <c:v>2011</c:v>
                </c:pt>
                <c:pt idx="1">
                  <c:v>2012</c:v>
                </c:pt>
                <c:pt idx="2">
                  <c:v>2014</c:v>
                </c:pt>
                <c:pt idx="3">
                  <c:v>2015</c:v>
                </c:pt>
                <c:pt idx="4">
                  <c:v>2016</c:v>
                </c:pt>
                <c:pt idx="5">
                  <c:v>2017</c:v>
                </c:pt>
                <c:pt idx="6">
                  <c:v>2018</c:v>
                </c:pt>
                <c:pt idx="7">
                  <c:v>2020</c:v>
                </c:pt>
                <c:pt idx="8">
                  <c:v>2022</c:v>
                </c:pt>
              </c:strCache>
            </c:strRef>
          </c:cat>
          <c:val>
            <c:numRef>
              <c:f>'Sheet Design'!$C$25:$C$33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6A23-487C-BFB1-DD6EC1B29718}"/>
            </c:ext>
          </c:extLst>
        </c:ser>
        <c:dLbls>
          <c:showLegendKey val="0"/>
          <c:showVal val="0"/>
          <c:showCatName val="0"/>
          <c:showSerName val="0"/>
          <c:showPercent val="0"/>
          <c:showBubbleSize val="0"/>
        </c:dLbls>
        <c:dropLines>
          <c:spPr>
            <a:ln w="3175" cap="flat" cmpd="sng" algn="ctr">
              <a:solidFill>
                <a:schemeClr val="bg1">
                  <a:lumMod val="65000"/>
                  <a:alpha val="75000"/>
                </a:schemeClr>
              </a:solidFill>
              <a:round/>
            </a:ln>
            <a:effectLst/>
          </c:spPr>
        </c:dropLines>
        <c:axId val="1255181824"/>
        <c:axId val="1255170784"/>
      </c:areaChart>
      <c:catAx>
        <c:axId val="12551818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Variable Small Semibol" pitchFamily="2" charset="0"/>
                <a:ea typeface="+mn-ea"/>
                <a:cs typeface="+mn-cs"/>
              </a:defRPr>
            </a:pPr>
            <a:endParaRPr lang="en-US"/>
          </a:p>
        </c:txPr>
        <c:crossAx val="1255170784"/>
        <c:crosses val="autoZero"/>
        <c:auto val="1"/>
        <c:lblAlgn val="ctr"/>
        <c:lblOffset val="100"/>
        <c:noMultiLvlLbl val="0"/>
      </c:catAx>
      <c:valAx>
        <c:axId val="1255170784"/>
        <c:scaling>
          <c:orientation val="minMax"/>
        </c:scaling>
        <c:delete val="1"/>
        <c:axPos val="l"/>
        <c:numFmt formatCode="&quot;$&quot;0.00,&quot;K&quot;" sourceLinked="1"/>
        <c:majorTickMark val="out"/>
        <c:minorTickMark val="none"/>
        <c:tickLblPos val="nextTo"/>
        <c:crossAx val="12551818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842501311878121"/>
              <c:y val="-3.95807380271606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48929929998256"/>
                  <c:h val="0.15258396770852906"/>
                </c:manualLayout>
              </c15:layout>
            </c:ext>
          </c:extLst>
        </c:dLbl>
      </c:pivotFmt>
      <c:pivotFmt>
        <c:idx val="7"/>
        <c:spPr>
          <a:solidFill>
            <a:srgbClr val="D09E00"/>
          </a:solidFill>
          <a:ln w="19050">
            <a:solidFill>
              <a:schemeClr val="lt1"/>
            </a:solidFill>
          </a:ln>
          <a:effectLst/>
        </c:spPr>
        <c:dLbl>
          <c:idx val="0"/>
          <c:layout>
            <c:manualLayout>
              <c:x val="0.20181073490094192"/>
              <c:y val="1.7379906520002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1007858267324104"/>
              <c:y val="-9.6124649494533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891367462750064"/>
          <c:y val="0.13852545945267278"/>
          <c:w val="0.6987924220574655"/>
          <c:h val="0.86147454054732731"/>
        </c:manualLayout>
      </c:layout>
      <c:doughnutChart>
        <c:varyColors val="1"/>
        <c:ser>
          <c:idx val="0"/>
          <c:order val="0"/>
          <c:tx>
            <c:strRef>
              <c:f>'Sheet Design'!$C$40</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dPt>
          <c:dPt>
            <c:idx val="1"/>
            <c:bubble3D val="0"/>
            <c:spPr>
              <a:solidFill>
                <a:srgbClr val="D09E00"/>
              </a:solidFill>
              <a:ln w="19050">
                <a:solidFill>
                  <a:schemeClr val="lt1"/>
                </a:solidFill>
              </a:ln>
              <a:effectLst/>
            </c:spPr>
          </c:dPt>
          <c:dPt>
            <c:idx val="2"/>
            <c:bubble3D val="0"/>
            <c:spPr>
              <a:solidFill>
                <a:schemeClr val="accent6">
                  <a:lumMod val="75000"/>
                </a:schemeClr>
              </a:solidFill>
              <a:ln w="19050">
                <a:solidFill>
                  <a:schemeClr val="lt1"/>
                </a:solidFill>
              </a:ln>
              <a:effectLst/>
            </c:spPr>
          </c:dPt>
          <c:dLbls>
            <c:dLbl>
              <c:idx val="0"/>
              <c:layout>
                <c:manualLayout>
                  <c:x val="0.12842501311878121"/>
                  <c:y val="-3.95807380271606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48929929998256"/>
                      <c:h val="0.15258396770852906"/>
                    </c:manualLayout>
                  </c15:layout>
                </c:ext>
              </c:extLst>
            </c:dLbl>
            <c:dLbl>
              <c:idx val="1"/>
              <c:layout>
                <c:manualLayout>
                  <c:x val="0.20181073490094192"/>
                  <c:y val="1.7379906520002847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1007858267324104"/>
                  <c:y val="-9.6124649494533101E-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Design'!$B$41:$B$43</c:f>
              <c:strCache>
                <c:ptCount val="3"/>
                <c:pt idx="0">
                  <c:v>High</c:v>
                </c:pt>
                <c:pt idx="1">
                  <c:v>Medium</c:v>
                </c:pt>
                <c:pt idx="2">
                  <c:v>Small</c:v>
                </c:pt>
              </c:strCache>
            </c:strRef>
          </c:cat>
          <c:val>
            <c:numRef>
              <c:f>'Sheet Design'!$C$41:$C$43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0360-4450-90A9-87FDAE7E22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Design'!$C$51</c:f>
              <c:strCache>
                <c:ptCount val="1"/>
                <c:pt idx="0">
                  <c:v>Total</c:v>
                </c:pt>
              </c:strCache>
            </c:strRef>
          </c:tx>
          <c:spPr>
            <a:solidFill>
              <a:schemeClr val="accent2">
                <a:lumMod val="75000"/>
              </a:schemeClr>
            </a:solidFill>
            <a:ln>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Design'!$B$52:$B$55</c:f>
              <c:strCache>
                <c:ptCount val="4"/>
                <c:pt idx="0">
                  <c:v>Grocery Store</c:v>
                </c:pt>
                <c:pt idx="1">
                  <c:v>Supermarket Type3</c:v>
                </c:pt>
                <c:pt idx="2">
                  <c:v>Supermarket Type2</c:v>
                </c:pt>
                <c:pt idx="3">
                  <c:v>Supermarket Type1</c:v>
                </c:pt>
              </c:strCache>
            </c:strRef>
          </c:cat>
          <c:val>
            <c:numRef>
              <c:f>'Sheet Design'!$C$52:$C$55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B700-4410-9BBF-89B3FE48A69F}"/>
            </c:ext>
          </c:extLst>
        </c:ser>
        <c:dLbls>
          <c:showLegendKey val="0"/>
          <c:showVal val="0"/>
          <c:showCatName val="0"/>
          <c:showSerName val="0"/>
          <c:showPercent val="0"/>
          <c:showBubbleSize val="0"/>
        </c:dLbls>
        <c:gapWidth val="60"/>
        <c:axId val="1250299360"/>
        <c:axId val="1250300320"/>
      </c:barChart>
      <c:catAx>
        <c:axId val="125029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1250300320"/>
        <c:crosses val="autoZero"/>
        <c:auto val="1"/>
        <c:lblAlgn val="ctr"/>
        <c:lblOffset val="100"/>
        <c:noMultiLvlLbl val="0"/>
      </c:catAx>
      <c:valAx>
        <c:axId val="1250300320"/>
        <c:scaling>
          <c:orientation val="minMax"/>
        </c:scaling>
        <c:delete val="1"/>
        <c:axPos val="b"/>
        <c:numFmt formatCode="&quot;$&quot;0.00,&quot;K&quot;" sourceLinked="1"/>
        <c:majorTickMark val="none"/>
        <c:minorTickMark val="none"/>
        <c:tickLblPos val="nextTo"/>
        <c:crossAx val="125029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5516795865628"/>
                  <c:h val="0.17581161616161617"/>
                </c:manualLayout>
              </c15:layout>
            </c:ext>
          </c:extLst>
        </c:dLbl>
      </c:pivotFmt>
      <c:pivotFmt>
        <c:idx val="4"/>
        <c:spPr>
          <a:solidFill>
            <a:schemeClr val="accent6">
              <a:lumMod val="50000"/>
            </a:schemeClr>
          </a:solidFill>
          <a:ln>
            <a:noFill/>
          </a:ln>
          <a:effectLst/>
        </c:spPr>
        <c:dLbl>
          <c:idx val="0"/>
          <c:layout>
            <c:manualLayout>
              <c:x val="-1.3121876702935105E-16"/>
              <c:y val="-6.4141414141413991E-3"/>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9095607235141"/>
          <c:y val="6.4141414141414138E-2"/>
          <c:w val="0.81950904392764856"/>
          <c:h val="0.85888888888888892"/>
        </c:manualLayout>
      </c:layout>
      <c:barChart>
        <c:barDir val="bar"/>
        <c:grouping val="clustered"/>
        <c:varyColors val="0"/>
        <c:ser>
          <c:idx val="0"/>
          <c:order val="0"/>
          <c:tx>
            <c:strRef>
              <c:f>'Sheet Design'!$C$59</c:f>
              <c:strCache>
                <c:ptCount val="1"/>
                <c:pt idx="0">
                  <c:v>Total</c:v>
                </c:pt>
              </c:strCache>
            </c:strRef>
          </c:tx>
          <c:spPr>
            <a:solidFill>
              <a:schemeClr val="accent6">
                <a:lumMod val="50000"/>
              </a:schemeClr>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15:layout>
                    <c:manualLayout>
                      <c:w val="0.26425516795865628"/>
                      <c:h val="0.17581161616161617"/>
                    </c:manualLayout>
                  </c15:layout>
                </c:ext>
              </c:extLst>
            </c:dLbl>
            <c:dLbl>
              <c:idx val="3"/>
              <c:layout>
                <c:manualLayout>
                  <c:x val="-1.3121876702935105E-16"/>
                  <c:y val="-6.4141414141413991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Design'!$B$60:$B$63</c:f>
              <c:strCache>
                <c:ptCount val="4"/>
                <c:pt idx="0">
                  <c:v>Grocery Store</c:v>
                </c:pt>
                <c:pt idx="1">
                  <c:v>Supermarket Type3</c:v>
                </c:pt>
                <c:pt idx="2">
                  <c:v>Supermarket Type2</c:v>
                </c:pt>
                <c:pt idx="3">
                  <c:v>Supermarket Type1</c:v>
                </c:pt>
              </c:strCache>
            </c:strRef>
          </c:cat>
          <c:val>
            <c:numRef>
              <c:f>'Sheet Design'!$C$60:$C$63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0F54-42EB-9B7B-9741CAC2DDD7}"/>
            </c:ext>
          </c:extLst>
        </c:ser>
        <c:dLbls>
          <c:showLegendKey val="0"/>
          <c:showVal val="0"/>
          <c:showCatName val="0"/>
          <c:showSerName val="0"/>
          <c:showPercent val="0"/>
          <c:showBubbleSize val="0"/>
        </c:dLbls>
        <c:gapWidth val="60"/>
        <c:axId val="1155202560"/>
        <c:axId val="1155205920"/>
      </c:barChart>
      <c:catAx>
        <c:axId val="1155202560"/>
        <c:scaling>
          <c:orientation val="minMax"/>
        </c:scaling>
        <c:delete val="1"/>
        <c:axPos val="l"/>
        <c:numFmt formatCode="General" sourceLinked="1"/>
        <c:majorTickMark val="none"/>
        <c:minorTickMark val="none"/>
        <c:tickLblPos val="nextTo"/>
        <c:crossAx val="1155205920"/>
        <c:crosses val="autoZero"/>
        <c:auto val="1"/>
        <c:lblAlgn val="ctr"/>
        <c:lblOffset val="100"/>
        <c:noMultiLvlLbl val="0"/>
      </c:catAx>
      <c:valAx>
        <c:axId val="1155205920"/>
        <c:scaling>
          <c:orientation val="minMax"/>
        </c:scaling>
        <c:delete val="1"/>
        <c:axPos val="b"/>
        <c:numFmt formatCode="\$0" sourceLinked="1"/>
        <c:majorTickMark val="none"/>
        <c:minorTickMark val="none"/>
        <c:tickLblPos val="nextTo"/>
        <c:crossAx val="11552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5478036175705E-2"/>
          <c:y val="7.0555555555555552E-2"/>
          <c:w val="0.86052971576227388"/>
          <c:h val="0.85888888888888892"/>
        </c:manualLayout>
      </c:layout>
      <c:barChart>
        <c:barDir val="bar"/>
        <c:grouping val="clustered"/>
        <c:varyColors val="0"/>
        <c:ser>
          <c:idx val="0"/>
          <c:order val="0"/>
          <c:tx>
            <c:strRef>
              <c:f>'Sheet Design'!$C$69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Design'!$B$70:$B$73</c:f>
              <c:strCache>
                <c:ptCount val="4"/>
                <c:pt idx="0">
                  <c:v>Grocery Store</c:v>
                </c:pt>
                <c:pt idx="1">
                  <c:v>Supermarket Type3</c:v>
                </c:pt>
                <c:pt idx="2">
                  <c:v>Supermarket Type2</c:v>
                </c:pt>
                <c:pt idx="3">
                  <c:v>Supermarket Type1</c:v>
                </c:pt>
              </c:strCache>
            </c:strRef>
          </c:cat>
          <c:val>
            <c:numRef>
              <c:f>'Sheet Design'!$C$70:$C$73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C84F-4AD8-9F8A-1E02D57E89C7}"/>
            </c:ext>
          </c:extLst>
        </c:ser>
        <c:dLbls>
          <c:showLegendKey val="0"/>
          <c:showVal val="0"/>
          <c:showCatName val="0"/>
          <c:showSerName val="0"/>
          <c:showPercent val="0"/>
          <c:showBubbleSize val="0"/>
        </c:dLbls>
        <c:gapWidth val="60"/>
        <c:axId val="1256319184"/>
        <c:axId val="1256318224"/>
      </c:barChart>
      <c:catAx>
        <c:axId val="1256319184"/>
        <c:scaling>
          <c:orientation val="minMax"/>
        </c:scaling>
        <c:delete val="1"/>
        <c:axPos val="l"/>
        <c:numFmt formatCode="General" sourceLinked="1"/>
        <c:majorTickMark val="none"/>
        <c:minorTickMark val="none"/>
        <c:tickLblPos val="nextTo"/>
        <c:crossAx val="1256318224"/>
        <c:crosses val="autoZero"/>
        <c:auto val="1"/>
        <c:lblAlgn val="ctr"/>
        <c:lblOffset val="100"/>
        <c:noMultiLvlLbl val="0"/>
      </c:catAx>
      <c:valAx>
        <c:axId val="1256318224"/>
        <c:scaling>
          <c:orientation val="minMax"/>
        </c:scaling>
        <c:delete val="1"/>
        <c:axPos val="b"/>
        <c:numFmt formatCode="0" sourceLinked="1"/>
        <c:majorTickMark val="none"/>
        <c:minorTickMark val="none"/>
        <c:tickLblPos val="nextTo"/>
        <c:crossAx val="125631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cx:f>
      </cx:strDim>
      <cx:numDim type="val">
        <cx:f>_xlchart.v2.2</cx:f>
      </cx:numDim>
    </cx:data>
  </cx:chartData>
  <cx:chart>
    <cx:plotArea>
      <cx:plotAreaRegion>
        <cx:series layoutId="funnel" uniqueId="{AC2852D6-C678-41BF-8F91-3B9B078A3D40}">
          <cx:tx>
            <cx:txData>
              <cx:f>_xlchart.v2.0</cx:f>
              <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200">
                    <a:solidFill>
                      <a:schemeClr val="tx1"/>
                    </a:solidFill>
                    <a:latin typeface="Segoe UI Variable Small Semibol" pitchFamily="2" charset="0"/>
                    <a:ea typeface="Segoe UI Variable Small Semibol" pitchFamily="2" charset="0"/>
                    <a:cs typeface="Segoe UI Variable Small Semibol" pitchFamily="2" charset="0"/>
                  </a:defRPr>
                </a:pPr>
                <a:endParaRPr lang="en-US" sz="1200" b="0" i="0" u="none" strike="noStrike" baseline="0">
                  <a:solidFill>
                    <a:schemeClr val="tx1"/>
                  </a:solidFill>
                  <a:latin typeface="Segoe UI Variable Small Semibol" pitchFamily="2" charset="0"/>
                </a:endParaRPr>
              </a:p>
            </cx:txPr>
            <cx:visibility seriesName="0" categoryName="0" value="1"/>
          </cx:dataLabels>
          <cx:dataId val="0"/>
        </cx:series>
      </cx:plotAreaRegion>
      <cx:axis id="0">
        <cx:catScaling gapWidth="0.349999994"/>
        <cx:tickLabels/>
      </cx:axis>
    </cx:plotArea>
  </cx:chart>
  <cx:spPr>
    <a:solidFill>
      <a:srgbClr val="FAFAFA"/>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AC2852D6-C678-41BF-8F91-3B9B078A3D40}">
          <cx:tx>
            <cx:txData>
              <cx:f>_xlchart.v2.3</cx:f>
              <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200">
                    <a:solidFill>
                      <a:schemeClr val="tx1"/>
                    </a:solidFill>
                    <a:latin typeface="Segoe UI Variable Small Semibol" pitchFamily="2" charset="0"/>
                    <a:ea typeface="Segoe UI Variable Small Semibol" pitchFamily="2" charset="0"/>
                    <a:cs typeface="Segoe UI Variable Small Semibol" pitchFamily="2" charset="0"/>
                  </a:defRPr>
                </a:pPr>
                <a:endParaRPr lang="en-US" sz="1200" b="0" i="0" u="none" strike="noStrike" baseline="0">
                  <a:solidFill>
                    <a:schemeClr val="tx1"/>
                  </a:solidFill>
                  <a:latin typeface="Segoe UI Variable Small Semibol" pitchFamily="2" charset="0"/>
                </a:endParaRPr>
              </a:p>
            </cx:txPr>
            <cx:visibility seriesName="0" categoryName="0" value="1"/>
          </cx:dataLabels>
          <cx:dataId val="0"/>
        </cx:series>
      </cx:plotAreaRegion>
      <cx:axis id="0">
        <cx:catScaling gapWidth="0.349999994"/>
        <cx:tickLabels/>
        <cx:spPr>
          <a:ln>
            <a:solidFill>
              <a:schemeClr val="bg1">
                <a:lumMod val="65000"/>
              </a:schemeClr>
            </a:solid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5</xdr:col>
      <xdr:colOff>289560</xdr:colOff>
      <xdr:row>1</xdr:row>
      <xdr:rowOff>7621</xdr:rowOff>
    </xdr:from>
    <xdr:to>
      <xdr:col>6</xdr:col>
      <xdr:colOff>787997</xdr:colOff>
      <xdr:row>6</xdr:row>
      <xdr:rowOff>140746</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5D315D8B-D0E5-A99E-D56A-CB2B19AAA47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336689" y="204845"/>
              <a:ext cx="1834179" cy="1199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125730</xdr:colOff>
      <xdr:row>9</xdr:row>
      <xdr:rowOff>76200</xdr:rowOff>
    </xdr:from>
    <xdr:to>
      <xdr:col>4</xdr:col>
      <xdr:colOff>373380</xdr:colOff>
      <xdr:row>13</xdr:row>
      <xdr:rowOff>137160</xdr:rowOff>
    </xdr:to>
    <xdr:graphicFrame macro="">
      <xdr:nvGraphicFramePr>
        <xdr:cNvPr id="4" name="Chart 3">
          <a:extLst>
            <a:ext uri="{FF2B5EF4-FFF2-40B4-BE49-F238E27FC236}">
              <a16:creationId xmlns:a16="http://schemas.microsoft.com/office/drawing/2014/main" id="{A16A1283-B6A5-ABBF-AF60-D842F3AD9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xdr:colOff>
      <xdr:row>3</xdr:row>
      <xdr:rowOff>0</xdr:rowOff>
    </xdr:from>
    <xdr:to>
      <xdr:col>14</xdr:col>
      <xdr:colOff>891540</xdr:colOff>
      <xdr:row>8</xdr:row>
      <xdr:rowOff>198120</xdr:rowOff>
    </xdr:to>
    <xdr:graphicFrame macro="">
      <xdr:nvGraphicFramePr>
        <xdr:cNvPr id="5" name="Chart 4">
          <a:extLst>
            <a:ext uri="{FF2B5EF4-FFF2-40B4-BE49-F238E27FC236}">
              <a16:creationId xmlns:a16="http://schemas.microsoft.com/office/drawing/2014/main" id="{C94D6708-B6AB-36CF-8CFB-D68FB857E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8963</xdr:colOff>
      <xdr:row>11</xdr:row>
      <xdr:rowOff>8966</xdr:rowOff>
    </xdr:from>
    <xdr:to>
      <xdr:col>13</xdr:col>
      <xdr:colOff>887506</xdr:colOff>
      <xdr:row>27</xdr:row>
      <xdr:rowOff>179294</xdr:rowOff>
    </xdr:to>
    <xdr:graphicFrame macro="">
      <xdr:nvGraphicFramePr>
        <xdr:cNvPr id="8" name="Chart 7">
          <a:extLst>
            <a:ext uri="{FF2B5EF4-FFF2-40B4-BE49-F238E27FC236}">
              <a16:creationId xmlns:a16="http://schemas.microsoft.com/office/drawing/2014/main" id="{58C5EA71-9A9D-AD2A-B8CB-982FEBB8B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17930</xdr:colOff>
      <xdr:row>23</xdr:row>
      <xdr:rowOff>17929</xdr:rowOff>
    </xdr:from>
    <xdr:to>
      <xdr:col>5</xdr:col>
      <xdr:colOff>1326776</xdr:colOff>
      <xdr:row>32</xdr:row>
      <xdr:rowOff>188258</xdr:rowOff>
    </xdr:to>
    <xdr:graphicFrame macro="">
      <xdr:nvGraphicFramePr>
        <xdr:cNvPr id="9" name="Chart 8">
          <a:extLst>
            <a:ext uri="{FF2B5EF4-FFF2-40B4-BE49-F238E27FC236}">
              <a16:creationId xmlns:a16="http://schemas.microsoft.com/office/drawing/2014/main" id="{91C7E722-06DD-1A94-1B6E-030D61EEC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17928</xdr:colOff>
      <xdr:row>39</xdr:row>
      <xdr:rowOff>13445</xdr:rowOff>
    </xdr:from>
    <xdr:to>
      <xdr:col>4</xdr:col>
      <xdr:colOff>1326775</xdr:colOff>
      <xdr:row>44</xdr:row>
      <xdr:rowOff>188259</xdr:rowOff>
    </xdr:to>
    <xdr:graphicFrame macro="">
      <xdr:nvGraphicFramePr>
        <xdr:cNvPr id="10" name="Chart 9">
          <a:extLst>
            <a:ext uri="{FF2B5EF4-FFF2-40B4-BE49-F238E27FC236}">
              <a16:creationId xmlns:a16="http://schemas.microsoft.com/office/drawing/2014/main" id="{808FE022-86CA-43AF-9CBA-16211CFD1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38</xdr:row>
      <xdr:rowOff>0</xdr:rowOff>
    </xdr:from>
    <xdr:to>
      <xdr:col>15</xdr:col>
      <xdr:colOff>385482</xdr:colOff>
      <xdr:row>47</xdr:row>
      <xdr:rowOff>26894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157C69A-DB2E-4D5A-B225-6630845075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21553" y="7664824"/>
              <a:ext cx="2196353" cy="18467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35859</xdr:colOff>
      <xdr:row>50</xdr:row>
      <xdr:rowOff>17928</xdr:rowOff>
    </xdr:from>
    <xdr:to>
      <xdr:col>5</xdr:col>
      <xdr:colOff>457200</xdr:colOff>
      <xdr:row>56</xdr:row>
      <xdr:rowOff>188259</xdr:rowOff>
    </xdr:to>
    <xdr:graphicFrame macro="">
      <xdr:nvGraphicFramePr>
        <xdr:cNvPr id="14" name="Chart 13">
          <a:extLst>
            <a:ext uri="{FF2B5EF4-FFF2-40B4-BE49-F238E27FC236}">
              <a16:creationId xmlns:a16="http://schemas.microsoft.com/office/drawing/2014/main" id="{967291EC-F90F-8BA0-0B37-E7095796C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17930</xdr:colOff>
      <xdr:row>58</xdr:row>
      <xdr:rowOff>8964</xdr:rowOff>
    </xdr:from>
    <xdr:to>
      <xdr:col>5</xdr:col>
      <xdr:colOff>466165</xdr:colOff>
      <xdr:row>66</xdr:row>
      <xdr:rowOff>188258</xdr:rowOff>
    </xdr:to>
    <xdr:graphicFrame macro="">
      <xdr:nvGraphicFramePr>
        <xdr:cNvPr id="15" name="Chart 14">
          <a:extLst>
            <a:ext uri="{FF2B5EF4-FFF2-40B4-BE49-F238E27FC236}">
              <a16:creationId xmlns:a16="http://schemas.microsoft.com/office/drawing/2014/main" id="{8D2EB3F6-DCF4-DA38-D934-3047390B4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44824</xdr:colOff>
      <xdr:row>68</xdr:row>
      <xdr:rowOff>17931</xdr:rowOff>
    </xdr:from>
    <xdr:to>
      <xdr:col>5</xdr:col>
      <xdr:colOff>304800</xdr:colOff>
      <xdr:row>75</xdr:row>
      <xdr:rowOff>17930</xdr:rowOff>
    </xdr:to>
    <xdr:graphicFrame macro="">
      <xdr:nvGraphicFramePr>
        <xdr:cNvPr id="16" name="Chart 15">
          <a:extLst>
            <a:ext uri="{FF2B5EF4-FFF2-40B4-BE49-F238E27FC236}">
              <a16:creationId xmlns:a16="http://schemas.microsoft.com/office/drawing/2014/main" id="{9927577E-B3BA-B5A3-9ADE-845646BFB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562087</xdr:colOff>
      <xdr:row>8</xdr:row>
      <xdr:rowOff>8517</xdr:rowOff>
    </xdr:from>
    <xdr:to>
      <xdr:col>6</xdr:col>
      <xdr:colOff>1055145</xdr:colOff>
      <xdr:row>21</xdr:row>
      <xdr:rowOff>95363</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7EB2B919-6457-3D1C-AE35-B37B9944420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609216" y="1666988"/>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217394</xdr:colOff>
      <xdr:row>1</xdr:row>
      <xdr:rowOff>76200</xdr:rowOff>
    </xdr:from>
    <xdr:to>
      <xdr:col>8</xdr:col>
      <xdr:colOff>593911</xdr:colOff>
      <xdr:row>7</xdr:row>
      <xdr:rowOff>107577</xdr:rowOff>
    </xdr:to>
    <mc:AlternateContent xmlns:mc="http://schemas.openxmlformats.org/markup-compatibility/2006">
      <mc:Choice xmlns:a14="http://schemas.microsoft.com/office/drawing/2010/main" Requires="a14">
        <xdr:graphicFrame macro="">
          <xdr:nvGraphicFramePr>
            <xdr:cNvPr id="18" name="Outlet Location Type">
              <a:extLst>
                <a:ext uri="{FF2B5EF4-FFF2-40B4-BE49-F238E27FC236}">
                  <a16:creationId xmlns:a16="http://schemas.microsoft.com/office/drawing/2014/main" id="{D991BA78-671D-E27C-B297-98283920ED8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918076" y="273424"/>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61422</xdr:colOff>
      <xdr:row>0</xdr:row>
      <xdr:rowOff>88438</xdr:rowOff>
    </xdr:from>
    <xdr:to>
      <xdr:col>28</xdr:col>
      <xdr:colOff>89422</xdr:colOff>
      <xdr:row>40</xdr:row>
      <xdr:rowOff>2685</xdr:rowOff>
    </xdr:to>
    <xdr:sp macro="" textlink="">
      <xdr:nvSpPr>
        <xdr:cNvPr id="2" name="Rectangle 1">
          <a:extLst>
            <a:ext uri="{FF2B5EF4-FFF2-40B4-BE49-F238E27FC236}">
              <a16:creationId xmlns:a16="http://schemas.microsoft.com/office/drawing/2014/main" id="{24D347BB-EA25-3CD4-CD28-9B17A944A923}"/>
            </a:ext>
          </a:extLst>
        </xdr:cNvPr>
        <xdr:cNvSpPr/>
      </xdr:nvSpPr>
      <xdr:spPr>
        <a:xfrm>
          <a:off x="4079240" y="88438"/>
          <a:ext cx="14760000" cy="77651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355544</xdr:colOff>
      <xdr:row>1</xdr:row>
      <xdr:rowOff>46184</xdr:rowOff>
    </xdr:from>
    <xdr:to>
      <xdr:col>9</xdr:col>
      <xdr:colOff>542635</xdr:colOff>
      <xdr:row>39</xdr:row>
      <xdr:rowOff>111821</xdr:rowOff>
    </xdr:to>
    <xdr:sp macro="" textlink="">
      <xdr:nvSpPr>
        <xdr:cNvPr id="3" name="Rectangle: Top Corners Rounded 2">
          <a:extLst>
            <a:ext uri="{FF2B5EF4-FFF2-40B4-BE49-F238E27FC236}">
              <a16:creationId xmlns:a16="http://schemas.microsoft.com/office/drawing/2014/main" id="{45D907E4-9A91-0B58-F1AA-03F997D08D8F}"/>
            </a:ext>
          </a:extLst>
        </xdr:cNvPr>
        <xdr:cNvSpPr/>
      </xdr:nvSpPr>
      <xdr:spPr>
        <a:xfrm rot="5400000">
          <a:off x="1709362" y="2906457"/>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600364</xdr:colOff>
      <xdr:row>1</xdr:row>
      <xdr:rowOff>138545</xdr:rowOff>
    </xdr:from>
    <xdr:to>
      <xdr:col>9</xdr:col>
      <xdr:colOff>461819</xdr:colOff>
      <xdr:row>5</xdr:row>
      <xdr:rowOff>185881</xdr:rowOff>
    </xdr:to>
    <xdr:sp macro="" textlink="">
      <xdr:nvSpPr>
        <xdr:cNvPr id="4" name="TextBox 3">
          <a:extLst>
            <a:ext uri="{FF2B5EF4-FFF2-40B4-BE49-F238E27FC236}">
              <a16:creationId xmlns:a16="http://schemas.microsoft.com/office/drawing/2014/main" id="{EDFA8CE9-4B0A-DA82-6886-45777B21ED78}"/>
            </a:ext>
          </a:extLst>
        </xdr:cNvPr>
        <xdr:cNvSpPr txBox="1"/>
      </xdr:nvSpPr>
      <xdr:spPr>
        <a:xfrm>
          <a:off x="4618182" y="334818"/>
          <a:ext cx="1870364" cy="83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600364</xdr:colOff>
      <xdr:row>4</xdr:row>
      <xdr:rowOff>114301</xdr:rowOff>
    </xdr:from>
    <xdr:to>
      <xdr:col>9</xdr:col>
      <xdr:colOff>357908</xdr:colOff>
      <xdr:row>6</xdr:row>
      <xdr:rowOff>46182</xdr:rowOff>
    </xdr:to>
    <xdr:sp macro="" textlink="">
      <xdr:nvSpPr>
        <xdr:cNvPr id="5" name="TextBox 4">
          <a:extLst>
            <a:ext uri="{FF2B5EF4-FFF2-40B4-BE49-F238E27FC236}">
              <a16:creationId xmlns:a16="http://schemas.microsoft.com/office/drawing/2014/main" id="{BC8C05F8-F659-C10F-160E-A05BD62233AD}"/>
            </a:ext>
          </a:extLst>
        </xdr:cNvPr>
        <xdr:cNvSpPr txBox="1"/>
      </xdr:nvSpPr>
      <xdr:spPr>
        <a:xfrm>
          <a:off x="4618182" y="899392"/>
          <a:ext cx="1766453" cy="32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a:latin typeface="Aptos Display" panose="020B0004020202020204" pitchFamily="34" charset="0"/>
            </a:rPr>
            <a:t>India's</a:t>
          </a:r>
          <a:r>
            <a:rPr lang="en-US" sz="1200" baseline="0">
              <a:latin typeface="Aptos Display" panose="020B0004020202020204" pitchFamily="34" charset="0"/>
            </a:rPr>
            <a:t> Last Minute App</a:t>
          </a:r>
          <a:endParaRPr lang="en-US" sz="1200">
            <a:latin typeface="Aptos Display" panose="020B0004020202020204" pitchFamily="34" charset="0"/>
          </a:endParaRPr>
        </a:p>
      </xdr:txBody>
    </xdr:sp>
    <xdr:clientData/>
  </xdr:twoCellAnchor>
  <xdr:twoCellAnchor>
    <xdr:from>
      <xdr:col>10</xdr:col>
      <xdr:colOff>173182</xdr:colOff>
      <xdr:row>1</xdr:row>
      <xdr:rowOff>138545</xdr:rowOff>
    </xdr:from>
    <xdr:to>
      <xdr:col>19</xdr:col>
      <xdr:colOff>92092</xdr:colOff>
      <xdr:row>14</xdr:row>
      <xdr:rowOff>22227</xdr:rowOff>
    </xdr:to>
    <xdr:grpSp>
      <xdr:nvGrpSpPr>
        <xdr:cNvPr id="10" name="Group 9">
          <a:extLst>
            <a:ext uri="{FF2B5EF4-FFF2-40B4-BE49-F238E27FC236}">
              <a16:creationId xmlns:a16="http://schemas.microsoft.com/office/drawing/2014/main" id="{D761A23E-CFF0-584E-1C8F-514739B0D031}"/>
            </a:ext>
          </a:extLst>
        </xdr:cNvPr>
        <xdr:cNvGrpSpPr/>
      </xdr:nvGrpSpPr>
      <xdr:grpSpPr>
        <a:xfrm>
          <a:off x="6922325" y="334488"/>
          <a:ext cx="5993138" cy="2430939"/>
          <a:chOff x="6869546" y="334818"/>
          <a:chExt cx="5945637" cy="2435227"/>
        </a:xfrm>
      </xdr:grpSpPr>
      <xdr:sp macro="" textlink="">
        <xdr:nvSpPr>
          <xdr:cNvPr id="6" name="Rectangle: Rounded Corners 5">
            <a:extLst>
              <a:ext uri="{FF2B5EF4-FFF2-40B4-BE49-F238E27FC236}">
                <a16:creationId xmlns:a16="http://schemas.microsoft.com/office/drawing/2014/main" id="{954D8AE0-7C99-588D-C1A5-1A473CD35A0E}"/>
              </a:ext>
            </a:extLst>
          </xdr:cNvPr>
          <xdr:cNvSpPr/>
        </xdr:nvSpPr>
        <xdr:spPr>
          <a:xfrm>
            <a:off x="6869546" y="334818"/>
            <a:ext cx="2736000" cy="1044000"/>
          </a:xfrm>
          <a:prstGeom prst="roundRect">
            <a:avLst>
              <a:gd name="adj" fmla="val 4503"/>
            </a:avLst>
          </a:prstGeom>
          <a:gradFill flip="none" rotWithShape="1">
            <a:gsLst>
              <a:gs pos="0">
                <a:srgbClr val="FFD200">
                  <a:alpha val="60000"/>
                </a:srgbClr>
              </a:gs>
              <a:gs pos="61000">
                <a:schemeClr val="accent6">
                  <a:lumMod val="75000"/>
                  <a:alpha val="45000"/>
                </a:schemeClr>
              </a:gs>
              <a:gs pos="100000">
                <a:schemeClr val="accent6">
                  <a:lumMod val="45000"/>
                  <a:lumOff val="55000"/>
                  <a:alpha val="50000"/>
                </a:schemeClr>
              </a:gs>
              <a:gs pos="100000">
                <a:schemeClr val="accent6">
                  <a:lumMod val="30000"/>
                  <a:lumOff val="7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36D84976-E962-4264-850C-7F108F6DD259}"/>
              </a:ext>
            </a:extLst>
          </xdr:cNvPr>
          <xdr:cNvSpPr/>
        </xdr:nvSpPr>
        <xdr:spPr>
          <a:xfrm>
            <a:off x="10079183" y="334818"/>
            <a:ext cx="2736000" cy="1044000"/>
          </a:xfrm>
          <a:prstGeom prst="roundRect">
            <a:avLst>
              <a:gd name="adj" fmla="val 671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AEE2A35A-C023-4CC7-9B7E-073507A44FE5}"/>
              </a:ext>
            </a:extLst>
          </xdr:cNvPr>
          <xdr:cNvSpPr/>
        </xdr:nvSpPr>
        <xdr:spPr>
          <a:xfrm>
            <a:off x="6869546" y="1726045"/>
            <a:ext cx="2736000" cy="1044000"/>
          </a:xfrm>
          <a:prstGeom prst="roundRect">
            <a:avLst>
              <a:gd name="adj" fmla="val 33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AA963756-096B-488E-87C9-1F898BA2EC28}"/>
              </a:ext>
            </a:extLst>
          </xdr:cNvPr>
          <xdr:cNvSpPr/>
        </xdr:nvSpPr>
        <xdr:spPr>
          <a:xfrm>
            <a:off x="10079183" y="1726045"/>
            <a:ext cx="2736000" cy="1044000"/>
          </a:xfrm>
          <a:prstGeom prst="roundRect">
            <a:avLst>
              <a:gd name="adj" fmla="val 560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6</xdr:col>
      <xdr:colOff>435430</xdr:colOff>
      <xdr:row>8</xdr:row>
      <xdr:rowOff>11002</xdr:rowOff>
    </xdr:from>
    <xdr:to>
      <xdr:col>9</xdr:col>
      <xdr:colOff>489858</xdr:colOff>
      <xdr:row>14</xdr:row>
      <xdr:rowOff>45309</xdr:rowOff>
    </xdr:to>
    <mc:AlternateContent xmlns:mc="http://schemas.openxmlformats.org/markup-compatibility/2006">
      <mc:Choice xmlns:a14="http://schemas.microsoft.com/office/drawing/2010/main" Requires="a14">
        <xdr:graphicFrame macro="">
          <xdr:nvGraphicFramePr>
            <xdr:cNvPr id="11" name="Outlet Size 1">
              <a:extLst>
                <a:ext uri="{FF2B5EF4-FFF2-40B4-BE49-F238E27FC236}">
                  <a16:creationId xmlns:a16="http://schemas.microsoft.com/office/drawing/2014/main" id="{0F3CEA44-BCB2-4BA5-BC2A-945950BAE3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484916" y="1578545"/>
              <a:ext cx="2079171" cy="1209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367144</xdr:colOff>
      <xdr:row>2</xdr:row>
      <xdr:rowOff>34059</xdr:rowOff>
    </xdr:from>
    <xdr:to>
      <xdr:col>12</xdr:col>
      <xdr:colOff>431802</xdr:colOff>
      <xdr:row>4</xdr:row>
      <xdr:rowOff>127577</xdr:rowOff>
    </xdr:to>
    <xdr:sp macro="" textlink="'Sheet Design'!A6">
      <xdr:nvSpPr>
        <xdr:cNvPr id="13" name="TextBox 12">
          <a:extLst>
            <a:ext uri="{FF2B5EF4-FFF2-40B4-BE49-F238E27FC236}">
              <a16:creationId xmlns:a16="http://schemas.microsoft.com/office/drawing/2014/main" id="{EDCC3446-1682-3AB8-C583-21C3BE1C80A4}"/>
            </a:ext>
          </a:extLst>
        </xdr:cNvPr>
        <xdr:cNvSpPr txBox="1"/>
      </xdr:nvSpPr>
      <xdr:spPr>
        <a:xfrm>
          <a:off x="7063508" y="426604"/>
          <a:ext cx="1403930" cy="48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3B0C20-EB92-4D50-9295-82EF50FF489A}" type="TxLink">
            <a:rPr lang="en-US" sz="2400" b="0" i="0" u="none" strike="noStrike">
              <a:solidFill>
                <a:srgbClr val="000000"/>
              </a:solidFill>
              <a:latin typeface="Segoe UI Black"/>
              <a:ea typeface="Segoe UI Black"/>
            </a:rPr>
            <a:t>$1.20M</a:t>
          </a:fld>
          <a:endParaRPr lang="en-US" sz="2400"/>
        </a:p>
      </xdr:txBody>
    </xdr:sp>
    <xdr:clientData/>
  </xdr:twoCellAnchor>
  <xdr:twoCellAnchor>
    <xdr:from>
      <xdr:col>10</xdr:col>
      <xdr:colOff>199736</xdr:colOff>
      <xdr:row>4</xdr:row>
      <xdr:rowOff>57150</xdr:rowOff>
    </xdr:from>
    <xdr:to>
      <xdr:col>12</xdr:col>
      <xdr:colOff>275938</xdr:colOff>
      <xdr:row>6</xdr:row>
      <xdr:rowOff>92941</xdr:rowOff>
    </xdr:to>
    <xdr:sp macro="" textlink="">
      <xdr:nvSpPr>
        <xdr:cNvPr id="14" name="TextBox 13">
          <a:extLst>
            <a:ext uri="{FF2B5EF4-FFF2-40B4-BE49-F238E27FC236}">
              <a16:creationId xmlns:a16="http://schemas.microsoft.com/office/drawing/2014/main" id="{8DCE17B6-249F-AF9A-0D33-66CF39057E95}"/>
            </a:ext>
          </a:extLst>
        </xdr:cNvPr>
        <xdr:cNvSpPr txBox="1"/>
      </xdr:nvSpPr>
      <xdr:spPr>
        <a:xfrm>
          <a:off x="6896100" y="842241"/>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TOTAL</a:t>
          </a:r>
          <a:r>
            <a:rPr lang="en-US" sz="1100" baseline="0">
              <a:latin typeface="Segoe UI Variable Small Semibol" pitchFamily="2" charset="0"/>
            </a:rPr>
            <a:t> SALES</a:t>
          </a:r>
          <a:endParaRPr lang="en-US" sz="1100">
            <a:latin typeface="Segoe UI Variable Small Semibol" pitchFamily="2" charset="0"/>
          </a:endParaRPr>
        </a:p>
      </xdr:txBody>
    </xdr:sp>
    <xdr:clientData/>
  </xdr:twoCellAnchor>
  <xdr:twoCellAnchor>
    <xdr:from>
      <xdr:col>15</xdr:col>
      <xdr:colOff>295565</xdr:colOff>
      <xdr:row>2</xdr:row>
      <xdr:rowOff>34059</xdr:rowOff>
    </xdr:from>
    <xdr:to>
      <xdr:col>17</xdr:col>
      <xdr:colOff>360222</xdr:colOff>
      <xdr:row>4</xdr:row>
      <xdr:rowOff>127577</xdr:rowOff>
    </xdr:to>
    <xdr:sp macro="" textlink="'Sheet Design'!B6">
      <xdr:nvSpPr>
        <xdr:cNvPr id="16" name="TextBox 15">
          <a:extLst>
            <a:ext uri="{FF2B5EF4-FFF2-40B4-BE49-F238E27FC236}">
              <a16:creationId xmlns:a16="http://schemas.microsoft.com/office/drawing/2014/main" id="{7B69E9C6-860E-45A8-BFF7-9DBBA03A6C85}"/>
            </a:ext>
          </a:extLst>
        </xdr:cNvPr>
        <xdr:cNvSpPr txBox="1"/>
      </xdr:nvSpPr>
      <xdr:spPr>
        <a:xfrm>
          <a:off x="10340110" y="426604"/>
          <a:ext cx="1403930" cy="48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1E23F2-F15A-4317-BEB3-F18B5D31421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$141</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15</xdr:col>
      <xdr:colOff>12701</xdr:colOff>
      <xdr:row>4</xdr:row>
      <xdr:rowOff>57150</xdr:rowOff>
    </xdr:from>
    <xdr:to>
      <xdr:col>17</xdr:col>
      <xdr:colOff>88902</xdr:colOff>
      <xdr:row>6</xdr:row>
      <xdr:rowOff>92941</xdr:rowOff>
    </xdr:to>
    <xdr:sp macro="" textlink="">
      <xdr:nvSpPr>
        <xdr:cNvPr id="19" name="TextBox 18">
          <a:extLst>
            <a:ext uri="{FF2B5EF4-FFF2-40B4-BE49-F238E27FC236}">
              <a16:creationId xmlns:a16="http://schemas.microsoft.com/office/drawing/2014/main" id="{30759C77-2370-4396-9C39-7E6A544A9403}"/>
            </a:ext>
          </a:extLst>
        </xdr:cNvPr>
        <xdr:cNvSpPr txBox="1"/>
      </xdr:nvSpPr>
      <xdr:spPr>
        <a:xfrm>
          <a:off x="10057246" y="842241"/>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latin typeface="Segoe UI Variable Small Semibol" pitchFamily="2" charset="0"/>
            </a:rPr>
            <a:t>AVG SALES</a:t>
          </a:r>
          <a:endParaRPr lang="en-US" sz="1100">
            <a:latin typeface="Segoe UI Variable Small Semibol" pitchFamily="2" charset="0"/>
          </a:endParaRPr>
        </a:p>
      </xdr:txBody>
    </xdr:sp>
    <xdr:clientData/>
  </xdr:twoCellAnchor>
  <xdr:twoCellAnchor>
    <xdr:from>
      <xdr:col>15</xdr:col>
      <xdr:colOff>295565</xdr:colOff>
      <xdr:row>9</xdr:row>
      <xdr:rowOff>7502</xdr:rowOff>
    </xdr:from>
    <xdr:to>
      <xdr:col>17</xdr:col>
      <xdr:colOff>360222</xdr:colOff>
      <xdr:row>11</xdr:row>
      <xdr:rowOff>101021</xdr:rowOff>
    </xdr:to>
    <xdr:sp macro="" textlink="'Sheet Design'!C6">
      <xdr:nvSpPr>
        <xdr:cNvPr id="20" name="TextBox 19">
          <a:extLst>
            <a:ext uri="{FF2B5EF4-FFF2-40B4-BE49-F238E27FC236}">
              <a16:creationId xmlns:a16="http://schemas.microsoft.com/office/drawing/2014/main" id="{4D67E271-AC21-495E-8E6E-7A7DEFAC0DF6}"/>
            </a:ext>
          </a:extLst>
        </xdr:cNvPr>
        <xdr:cNvSpPr txBox="1"/>
      </xdr:nvSpPr>
      <xdr:spPr>
        <a:xfrm>
          <a:off x="10340110" y="1773957"/>
          <a:ext cx="1403930" cy="48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C5B97C-81A0-4A85-826E-F594E50DF0C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12701</xdr:colOff>
      <xdr:row>11</xdr:row>
      <xdr:rowOff>99867</xdr:rowOff>
    </xdr:from>
    <xdr:to>
      <xdr:col>17</xdr:col>
      <xdr:colOff>88902</xdr:colOff>
      <xdr:row>13</xdr:row>
      <xdr:rowOff>135658</xdr:rowOff>
    </xdr:to>
    <xdr:sp macro="" textlink="">
      <xdr:nvSpPr>
        <xdr:cNvPr id="22" name="TextBox 21">
          <a:extLst>
            <a:ext uri="{FF2B5EF4-FFF2-40B4-BE49-F238E27FC236}">
              <a16:creationId xmlns:a16="http://schemas.microsoft.com/office/drawing/2014/main" id="{215C50DA-0143-4184-8660-CB4EA72E41C0}"/>
            </a:ext>
          </a:extLst>
        </xdr:cNvPr>
        <xdr:cNvSpPr txBox="1"/>
      </xdr:nvSpPr>
      <xdr:spPr>
        <a:xfrm>
          <a:off x="10057246" y="2258867"/>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latin typeface="Segoe UI Variable Small Semibol" pitchFamily="2" charset="0"/>
            </a:rPr>
            <a:t>AVG RATING</a:t>
          </a:r>
          <a:endParaRPr lang="en-US" sz="1100">
            <a:latin typeface="Segoe UI Variable Small Semibol" pitchFamily="2" charset="0"/>
          </a:endParaRPr>
        </a:p>
      </xdr:txBody>
    </xdr:sp>
    <xdr:clientData/>
  </xdr:twoCellAnchor>
  <xdr:twoCellAnchor>
    <xdr:from>
      <xdr:col>10</xdr:col>
      <xdr:colOff>367144</xdr:colOff>
      <xdr:row>9</xdr:row>
      <xdr:rowOff>7502</xdr:rowOff>
    </xdr:from>
    <xdr:to>
      <xdr:col>12</xdr:col>
      <xdr:colOff>431802</xdr:colOff>
      <xdr:row>11</xdr:row>
      <xdr:rowOff>101021</xdr:rowOff>
    </xdr:to>
    <xdr:sp macro="" textlink="'Sheet Design'!D6">
      <xdr:nvSpPr>
        <xdr:cNvPr id="23" name="TextBox 22">
          <a:extLst>
            <a:ext uri="{FF2B5EF4-FFF2-40B4-BE49-F238E27FC236}">
              <a16:creationId xmlns:a16="http://schemas.microsoft.com/office/drawing/2014/main" id="{34B7704F-484D-4C65-A601-A3965B89198B}"/>
            </a:ext>
          </a:extLst>
        </xdr:cNvPr>
        <xdr:cNvSpPr txBox="1"/>
      </xdr:nvSpPr>
      <xdr:spPr>
        <a:xfrm>
          <a:off x="7063508" y="1773957"/>
          <a:ext cx="1403930" cy="48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B43ED1-4287-4D40-8F9F-94427948227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199736</xdr:colOff>
      <xdr:row>11</xdr:row>
      <xdr:rowOff>99867</xdr:rowOff>
    </xdr:from>
    <xdr:to>
      <xdr:col>12</xdr:col>
      <xdr:colOff>275938</xdr:colOff>
      <xdr:row>13</xdr:row>
      <xdr:rowOff>135658</xdr:rowOff>
    </xdr:to>
    <xdr:sp macro="" textlink="">
      <xdr:nvSpPr>
        <xdr:cNvPr id="24" name="TextBox 23">
          <a:extLst>
            <a:ext uri="{FF2B5EF4-FFF2-40B4-BE49-F238E27FC236}">
              <a16:creationId xmlns:a16="http://schemas.microsoft.com/office/drawing/2014/main" id="{D05115B0-3E19-4BF5-BAD7-4044BF215118}"/>
            </a:ext>
          </a:extLst>
        </xdr:cNvPr>
        <xdr:cNvSpPr txBox="1"/>
      </xdr:nvSpPr>
      <xdr:spPr>
        <a:xfrm>
          <a:off x="6896100" y="2258867"/>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NO.</a:t>
          </a:r>
          <a:r>
            <a:rPr lang="en-US" sz="1100" baseline="0">
              <a:latin typeface="Segoe UI Variable Small Semibol" pitchFamily="2" charset="0"/>
            </a:rPr>
            <a:t> OF ITEMS</a:t>
          </a:r>
          <a:endParaRPr lang="en-US" sz="1100">
            <a:latin typeface="Segoe UI Variable Small Semibol" pitchFamily="2" charset="0"/>
          </a:endParaRPr>
        </a:p>
      </xdr:txBody>
    </xdr:sp>
    <xdr:clientData/>
  </xdr:twoCellAnchor>
  <xdr:twoCellAnchor editAs="oneCell">
    <xdr:from>
      <xdr:col>18</xdr:col>
      <xdr:colOff>287505</xdr:colOff>
      <xdr:row>2</xdr:row>
      <xdr:rowOff>109681</xdr:rowOff>
    </xdr:from>
    <xdr:to>
      <xdr:col>18</xdr:col>
      <xdr:colOff>578405</xdr:colOff>
      <xdr:row>4</xdr:row>
      <xdr:rowOff>5773</xdr:rowOff>
    </xdr:to>
    <xdr:pic>
      <xdr:nvPicPr>
        <xdr:cNvPr id="25" name="Picture 24">
          <a:extLst>
            <a:ext uri="{FF2B5EF4-FFF2-40B4-BE49-F238E27FC236}">
              <a16:creationId xmlns:a16="http://schemas.microsoft.com/office/drawing/2014/main" id="{9A779123-1292-AD11-E6BF-F5E1723A45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40960" y="502226"/>
          <a:ext cx="290900" cy="288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468994</xdr:colOff>
      <xdr:row>9</xdr:row>
      <xdr:rowOff>103955</xdr:rowOff>
    </xdr:from>
    <xdr:to>
      <xdr:col>14</xdr:col>
      <xdr:colOff>145722</xdr:colOff>
      <xdr:row>11</xdr:row>
      <xdr:rowOff>55080</xdr:rowOff>
    </xdr:to>
    <xdr:pic>
      <xdr:nvPicPr>
        <xdr:cNvPr id="26" name="Picture 25">
          <a:extLst>
            <a:ext uri="{FF2B5EF4-FFF2-40B4-BE49-F238E27FC236}">
              <a16:creationId xmlns:a16="http://schemas.microsoft.com/office/drawing/2014/main" id="{0B1C321B-0943-1D3E-59BD-AF04D433B9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4267" y="1870410"/>
          <a:ext cx="346364" cy="343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265546</xdr:colOff>
      <xdr:row>9</xdr:row>
      <xdr:rowOff>109683</xdr:rowOff>
    </xdr:from>
    <xdr:to>
      <xdr:col>18</xdr:col>
      <xdr:colOff>600364</xdr:colOff>
      <xdr:row>11</xdr:row>
      <xdr:rowOff>49353</xdr:rowOff>
    </xdr:to>
    <xdr:pic>
      <xdr:nvPicPr>
        <xdr:cNvPr id="27" name="Picture 26">
          <a:extLst>
            <a:ext uri="{FF2B5EF4-FFF2-40B4-BE49-F238E27FC236}">
              <a16:creationId xmlns:a16="http://schemas.microsoft.com/office/drawing/2014/main" id="{24EACC08-269B-6B3D-4A5C-27247F9D4B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19001" y="1876138"/>
          <a:ext cx="334818" cy="332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461819</xdr:colOff>
      <xdr:row>2</xdr:row>
      <xdr:rowOff>75046</xdr:rowOff>
    </xdr:from>
    <xdr:to>
      <xdr:col>14</xdr:col>
      <xdr:colOff>152897</xdr:colOff>
      <xdr:row>4</xdr:row>
      <xdr:rowOff>40409</xdr:rowOff>
    </xdr:to>
    <xdr:pic>
      <xdr:nvPicPr>
        <xdr:cNvPr id="28" name="Picture 27">
          <a:extLst>
            <a:ext uri="{FF2B5EF4-FFF2-40B4-BE49-F238E27FC236}">
              <a16:creationId xmlns:a16="http://schemas.microsoft.com/office/drawing/2014/main" id="{73568612-7B23-618C-63C9-C2C6105437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67092" y="467591"/>
          <a:ext cx="360714" cy="357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230908</xdr:colOff>
      <xdr:row>15</xdr:row>
      <xdr:rowOff>46182</xdr:rowOff>
    </xdr:from>
    <xdr:to>
      <xdr:col>19</xdr:col>
      <xdr:colOff>80818</xdr:colOff>
      <xdr:row>39</xdr:row>
      <xdr:rowOff>46182</xdr:rowOff>
    </xdr:to>
    <xdr:sp macro="" textlink="">
      <xdr:nvSpPr>
        <xdr:cNvPr id="29" name="Rectangle: Rounded Corners 28">
          <a:extLst>
            <a:ext uri="{FF2B5EF4-FFF2-40B4-BE49-F238E27FC236}">
              <a16:creationId xmlns:a16="http://schemas.microsoft.com/office/drawing/2014/main" id="{ED5365C0-B0A8-4F33-ADFE-00FCFCD8B713}"/>
            </a:ext>
          </a:extLst>
        </xdr:cNvPr>
        <xdr:cNvSpPr/>
      </xdr:nvSpPr>
      <xdr:spPr>
        <a:xfrm>
          <a:off x="6927272" y="2990273"/>
          <a:ext cx="5876637" cy="4710545"/>
        </a:xfrm>
        <a:prstGeom prst="roundRect">
          <a:avLst>
            <a:gd name="adj" fmla="val 462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507996</xdr:colOff>
      <xdr:row>16</xdr:row>
      <xdr:rowOff>11545</xdr:rowOff>
    </xdr:from>
    <xdr:to>
      <xdr:col>14</xdr:col>
      <xdr:colOff>133451</xdr:colOff>
      <xdr:row>25</xdr:row>
      <xdr:rowOff>1</xdr:rowOff>
    </xdr:to>
    <xdr:graphicFrame macro="">
      <xdr:nvGraphicFramePr>
        <xdr:cNvPr id="30" name="Chart 29">
          <a:extLst>
            <a:ext uri="{FF2B5EF4-FFF2-40B4-BE49-F238E27FC236}">
              <a16:creationId xmlns:a16="http://schemas.microsoft.com/office/drawing/2014/main" id="{427220F1-8C47-4775-97C1-6436766E1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213590</xdr:colOff>
      <xdr:row>15</xdr:row>
      <xdr:rowOff>51375</xdr:rowOff>
    </xdr:from>
    <xdr:to>
      <xdr:col>12</xdr:col>
      <xdr:colOff>289792</xdr:colOff>
      <xdr:row>17</xdr:row>
      <xdr:rowOff>87166</xdr:rowOff>
    </xdr:to>
    <xdr:sp macro="" textlink="">
      <xdr:nvSpPr>
        <xdr:cNvPr id="31" name="TextBox 30">
          <a:extLst>
            <a:ext uri="{FF2B5EF4-FFF2-40B4-BE49-F238E27FC236}">
              <a16:creationId xmlns:a16="http://schemas.microsoft.com/office/drawing/2014/main" id="{810D38BF-3794-40D8-9E3B-0FC27BE50CCE}"/>
            </a:ext>
          </a:extLst>
        </xdr:cNvPr>
        <xdr:cNvSpPr txBox="1"/>
      </xdr:nvSpPr>
      <xdr:spPr>
        <a:xfrm>
          <a:off x="6909954" y="2995466"/>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FAT</a:t>
          </a:r>
          <a:r>
            <a:rPr lang="en-US" sz="1100" baseline="0">
              <a:latin typeface="Segoe UI Variable Small Semibol" pitchFamily="2" charset="0"/>
            </a:rPr>
            <a:t> CONTENT</a:t>
          </a:r>
          <a:endParaRPr lang="en-US" sz="1100">
            <a:latin typeface="Segoe UI Variable Small Semibol" pitchFamily="2" charset="0"/>
          </a:endParaRPr>
        </a:p>
      </xdr:txBody>
    </xdr:sp>
    <xdr:clientData/>
  </xdr:twoCellAnchor>
  <xdr:twoCellAnchor>
    <xdr:from>
      <xdr:col>14</xdr:col>
      <xdr:colOff>519546</xdr:colOff>
      <xdr:row>16</xdr:row>
      <xdr:rowOff>11545</xdr:rowOff>
    </xdr:from>
    <xdr:to>
      <xdr:col>14</xdr:col>
      <xdr:colOff>536864</xdr:colOff>
      <xdr:row>38</xdr:row>
      <xdr:rowOff>92363</xdr:rowOff>
    </xdr:to>
    <xdr:cxnSp macro="">
      <xdr:nvCxnSpPr>
        <xdr:cNvPr id="33" name="Straight Connector 32">
          <a:extLst>
            <a:ext uri="{FF2B5EF4-FFF2-40B4-BE49-F238E27FC236}">
              <a16:creationId xmlns:a16="http://schemas.microsoft.com/office/drawing/2014/main" id="{C01AA679-5FA8-D4CB-1B85-5267BE7A5887}"/>
            </a:ext>
          </a:extLst>
        </xdr:cNvPr>
        <xdr:cNvCxnSpPr/>
      </xdr:nvCxnSpPr>
      <xdr:spPr>
        <a:xfrm>
          <a:off x="9894455" y="3151909"/>
          <a:ext cx="17318" cy="4398818"/>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369454</xdr:colOff>
      <xdr:row>25</xdr:row>
      <xdr:rowOff>138546</xdr:rowOff>
    </xdr:from>
    <xdr:to>
      <xdr:col>14</xdr:col>
      <xdr:colOff>392546</xdr:colOff>
      <xdr:row>25</xdr:row>
      <xdr:rowOff>138546</xdr:rowOff>
    </xdr:to>
    <xdr:cxnSp macro="">
      <xdr:nvCxnSpPr>
        <xdr:cNvPr id="37" name="Straight Connector 36">
          <a:extLst>
            <a:ext uri="{FF2B5EF4-FFF2-40B4-BE49-F238E27FC236}">
              <a16:creationId xmlns:a16="http://schemas.microsoft.com/office/drawing/2014/main" id="{99E9F4E6-BE11-49A4-9DF6-B4C38F5F8EE6}"/>
            </a:ext>
          </a:extLst>
        </xdr:cNvPr>
        <xdr:cNvCxnSpPr/>
      </xdr:nvCxnSpPr>
      <xdr:spPr>
        <a:xfrm>
          <a:off x="7065818" y="5045364"/>
          <a:ext cx="2701637" cy="0"/>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334815</xdr:colOff>
      <xdr:row>26</xdr:row>
      <xdr:rowOff>173181</xdr:rowOff>
    </xdr:from>
    <xdr:to>
      <xdr:col>14</xdr:col>
      <xdr:colOff>542636</xdr:colOff>
      <xdr:row>38</xdr:row>
      <xdr:rowOff>103909</xdr:rowOff>
    </xdr:to>
    <xdr:graphicFrame macro="">
      <xdr:nvGraphicFramePr>
        <xdr:cNvPr id="43" name="Chart 42">
          <a:extLst>
            <a:ext uri="{FF2B5EF4-FFF2-40B4-BE49-F238E27FC236}">
              <a16:creationId xmlns:a16="http://schemas.microsoft.com/office/drawing/2014/main" id="{9E85EF8E-CD3B-4CBC-8A1E-64FF358BC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273627</xdr:colOff>
      <xdr:row>25</xdr:row>
      <xdr:rowOff>162213</xdr:rowOff>
    </xdr:from>
    <xdr:to>
      <xdr:col>12</xdr:col>
      <xdr:colOff>349829</xdr:colOff>
      <xdr:row>28</xdr:row>
      <xdr:rowOff>1731</xdr:rowOff>
    </xdr:to>
    <xdr:sp macro="" textlink="">
      <xdr:nvSpPr>
        <xdr:cNvPr id="44" name="TextBox 43">
          <a:extLst>
            <a:ext uri="{FF2B5EF4-FFF2-40B4-BE49-F238E27FC236}">
              <a16:creationId xmlns:a16="http://schemas.microsoft.com/office/drawing/2014/main" id="{2D6841FC-C953-47F5-A201-B82EC7296DCB}"/>
            </a:ext>
          </a:extLst>
        </xdr:cNvPr>
        <xdr:cNvSpPr txBox="1"/>
      </xdr:nvSpPr>
      <xdr:spPr>
        <a:xfrm>
          <a:off x="6969991" y="5069031"/>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FAT</a:t>
          </a:r>
          <a:r>
            <a:rPr lang="en-US" sz="1100" baseline="0">
              <a:latin typeface="Segoe UI Variable Small Semibol" pitchFamily="2" charset="0"/>
            </a:rPr>
            <a:t> BY OUTLET</a:t>
          </a:r>
          <a:endParaRPr lang="en-US" sz="1100">
            <a:latin typeface="Segoe UI Variable Small Semibol" pitchFamily="2" charset="0"/>
          </a:endParaRPr>
        </a:p>
      </xdr:txBody>
    </xdr:sp>
    <xdr:clientData/>
  </xdr:twoCellAnchor>
  <xdr:twoCellAnchor>
    <xdr:from>
      <xdr:col>14</xdr:col>
      <xdr:colOff>458354</xdr:colOff>
      <xdr:row>15</xdr:row>
      <xdr:rowOff>51375</xdr:rowOff>
    </xdr:from>
    <xdr:to>
      <xdr:col>16</xdr:col>
      <xdr:colOff>534555</xdr:colOff>
      <xdr:row>17</xdr:row>
      <xdr:rowOff>87166</xdr:rowOff>
    </xdr:to>
    <xdr:sp macro="" textlink="">
      <xdr:nvSpPr>
        <xdr:cNvPr id="46" name="TextBox 45">
          <a:extLst>
            <a:ext uri="{FF2B5EF4-FFF2-40B4-BE49-F238E27FC236}">
              <a16:creationId xmlns:a16="http://schemas.microsoft.com/office/drawing/2014/main" id="{CEF0234F-7E30-4F14-9567-C3120808F705}"/>
            </a:ext>
          </a:extLst>
        </xdr:cNvPr>
        <xdr:cNvSpPr txBox="1"/>
      </xdr:nvSpPr>
      <xdr:spPr>
        <a:xfrm>
          <a:off x="9833263" y="2995466"/>
          <a:ext cx="1415474"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ITEM</a:t>
          </a:r>
          <a:r>
            <a:rPr lang="en-US" sz="1100" baseline="0">
              <a:latin typeface="Segoe UI Variable Small Semibol" pitchFamily="2" charset="0"/>
            </a:rPr>
            <a:t> TYPE</a:t>
          </a:r>
          <a:endParaRPr lang="en-US" sz="1100">
            <a:latin typeface="Segoe UI Variable Small Semibol" pitchFamily="2" charset="0"/>
          </a:endParaRPr>
        </a:p>
      </xdr:txBody>
    </xdr:sp>
    <xdr:clientData/>
  </xdr:twoCellAnchor>
  <xdr:twoCellAnchor>
    <xdr:from>
      <xdr:col>14</xdr:col>
      <xdr:colOff>577272</xdr:colOff>
      <xdr:row>15</xdr:row>
      <xdr:rowOff>150092</xdr:rowOff>
    </xdr:from>
    <xdr:to>
      <xdr:col>19</xdr:col>
      <xdr:colOff>46182</xdr:colOff>
      <xdr:row>38</xdr:row>
      <xdr:rowOff>69271</xdr:rowOff>
    </xdr:to>
    <xdr:graphicFrame macro="">
      <xdr:nvGraphicFramePr>
        <xdr:cNvPr id="47" name="Chart 46">
          <a:extLst>
            <a:ext uri="{FF2B5EF4-FFF2-40B4-BE49-F238E27FC236}">
              <a16:creationId xmlns:a16="http://schemas.microsoft.com/office/drawing/2014/main" id="{871378C6-7D08-41A9-A646-C5DDCD253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261258</xdr:colOff>
      <xdr:row>0</xdr:row>
      <xdr:rowOff>190500</xdr:rowOff>
    </xdr:from>
    <xdr:to>
      <xdr:col>27</xdr:col>
      <xdr:colOff>653143</xdr:colOff>
      <xdr:row>39</xdr:row>
      <xdr:rowOff>10886</xdr:rowOff>
    </xdr:to>
    <xdr:sp macro="" textlink="">
      <xdr:nvSpPr>
        <xdr:cNvPr id="49" name="Rectangle: Rounded Corners 48">
          <a:extLst>
            <a:ext uri="{FF2B5EF4-FFF2-40B4-BE49-F238E27FC236}">
              <a16:creationId xmlns:a16="http://schemas.microsoft.com/office/drawing/2014/main" id="{58730E44-2747-49CD-8DB4-CD64A246C22E}"/>
            </a:ext>
          </a:extLst>
        </xdr:cNvPr>
        <xdr:cNvSpPr/>
      </xdr:nvSpPr>
      <xdr:spPr>
        <a:xfrm>
          <a:off x="13084629" y="190500"/>
          <a:ext cx="5791200" cy="7462157"/>
        </a:xfrm>
        <a:prstGeom prst="roundRect">
          <a:avLst>
            <a:gd name="adj" fmla="val 462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404091</xdr:colOff>
      <xdr:row>2</xdr:row>
      <xdr:rowOff>0</xdr:rowOff>
    </xdr:from>
    <xdr:to>
      <xdr:col>27</xdr:col>
      <xdr:colOff>554181</xdr:colOff>
      <xdr:row>13</xdr:row>
      <xdr:rowOff>131309</xdr:rowOff>
    </xdr:to>
    <xdr:graphicFrame macro="">
      <xdr:nvGraphicFramePr>
        <xdr:cNvPr id="50" name="Chart 49">
          <a:extLst>
            <a:ext uri="{FF2B5EF4-FFF2-40B4-BE49-F238E27FC236}">
              <a16:creationId xmlns:a16="http://schemas.microsoft.com/office/drawing/2014/main" id="{29E37DCD-AA24-40E0-91A5-E0D60CF63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331354</xdr:colOff>
      <xdr:row>1</xdr:row>
      <xdr:rowOff>148358</xdr:rowOff>
    </xdr:from>
    <xdr:to>
      <xdr:col>22</xdr:col>
      <xdr:colOff>362526</xdr:colOff>
      <xdr:row>3</xdr:row>
      <xdr:rowOff>184149</xdr:rowOff>
    </xdr:to>
    <xdr:sp macro="" textlink="">
      <xdr:nvSpPr>
        <xdr:cNvPr id="51" name="TextBox 50">
          <a:extLst>
            <a:ext uri="{FF2B5EF4-FFF2-40B4-BE49-F238E27FC236}">
              <a16:creationId xmlns:a16="http://schemas.microsoft.com/office/drawing/2014/main" id="{810E43F2-3129-4965-A0E4-C3EB346258E5}"/>
            </a:ext>
          </a:extLst>
        </xdr:cNvPr>
        <xdr:cNvSpPr txBox="1"/>
      </xdr:nvSpPr>
      <xdr:spPr>
        <a:xfrm>
          <a:off x="13154725" y="344301"/>
          <a:ext cx="2055915" cy="427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OUTLET</a:t>
          </a:r>
          <a:r>
            <a:rPr lang="en-US" sz="1100" baseline="0">
              <a:latin typeface="Segoe UI Variable Small Semibol" pitchFamily="2" charset="0"/>
            </a:rPr>
            <a:t> ESTABLISHMENT</a:t>
          </a:r>
          <a:endParaRPr lang="en-US" sz="1100">
            <a:latin typeface="Segoe UI Variable Small Semibol" pitchFamily="2" charset="0"/>
          </a:endParaRPr>
        </a:p>
      </xdr:txBody>
    </xdr:sp>
    <xdr:clientData/>
  </xdr:twoCellAnchor>
  <xdr:twoCellAnchor>
    <xdr:from>
      <xdr:col>19</xdr:col>
      <xdr:colOff>508000</xdr:colOff>
      <xdr:row>14</xdr:row>
      <xdr:rowOff>23091</xdr:rowOff>
    </xdr:from>
    <xdr:to>
      <xdr:col>27</xdr:col>
      <xdr:colOff>473363</xdr:colOff>
      <xdr:row>14</xdr:row>
      <xdr:rowOff>23091</xdr:rowOff>
    </xdr:to>
    <xdr:cxnSp macro="">
      <xdr:nvCxnSpPr>
        <xdr:cNvPr id="52" name="Straight Connector 51">
          <a:extLst>
            <a:ext uri="{FF2B5EF4-FFF2-40B4-BE49-F238E27FC236}">
              <a16:creationId xmlns:a16="http://schemas.microsoft.com/office/drawing/2014/main" id="{78B3EF05-7DC5-4A52-A6D2-1673BA975F5B}"/>
            </a:ext>
          </a:extLst>
        </xdr:cNvPr>
        <xdr:cNvCxnSpPr/>
      </xdr:nvCxnSpPr>
      <xdr:spPr>
        <a:xfrm>
          <a:off x="13231091" y="2770909"/>
          <a:ext cx="5322454" cy="0"/>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237507</xdr:colOff>
      <xdr:row>15</xdr:row>
      <xdr:rowOff>192971</xdr:rowOff>
    </xdr:from>
    <xdr:to>
      <xdr:col>23</xdr:col>
      <xdr:colOff>306780</xdr:colOff>
      <xdr:row>27</xdr:row>
      <xdr:rowOff>87699</xdr:rowOff>
    </xdr:to>
    <xdr:graphicFrame macro="">
      <xdr:nvGraphicFramePr>
        <xdr:cNvPr id="57" name="Chart 56">
          <a:extLst>
            <a:ext uri="{FF2B5EF4-FFF2-40B4-BE49-F238E27FC236}">
              <a16:creationId xmlns:a16="http://schemas.microsoft.com/office/drawing/2014/main" id="{18905A74-F9A4-4624-B422-26036CF18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537193</xdr:colOff>
      <xdr:row>14</xdr:row>
      <xdr:rowOff>141761</xdr:rowOff>
    </xdr:from>
    <xdr:to>
      <xdr:col>21</xdr:col>
      <xdr:colOff>568365</xdr:colOff>
      <xdr:row>16</xdr:row>
      <xdr:rowOff>177222</xdr:rowOff>
    </xdr:to>
    <xdr:sp macro="" textlink="">
      <xdr:nvSpPr>
        <xdr:cNvPr id="59" name="TextBox 58">
          <a:extLst>
            <a:ext uri="{FF2B5EF4-FFF2-40B4-BE49-F238E27FC236}">
              <a16:creationId xmlns:a16="http://schemas.microsoft.com/office/drawing/2014/main" id="{A42EEA80-250C-4963-A8A4-3FA962987B48}"/>
            </a:ext>
          </a:extLst>
        </xdr:cNvPr>
        <xdr:cNvSpPr txBox="1"/>
      </xdr:nvSpPr>
      <xdr:spPr>
        <a:xfrm>
          <a:off x="12685650" y="2884961"/>
          <a:ext cx="2055915" cy="42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OUTLET</a:t>
          </a:r>
          <a:r>
            <a:rPr lang="en-US" sz="1100" baseline="0">
              <a:latin typeface="Segoe UI Variable Small Semibol" pitchFamily="2" charset="0"/>
            </a:rPr>
            <a:t> SIZE</a:t>
          </a:r>
          <a:endParaRPr lang="en-US" sz="1100">
            <a:latin typeface="Segoe UI Variable Small Semibol" pitchFamily="2" charset="0"/>
          </a:endParaRPr>
        </a:p>
      </xdr:txBody>
    </xdr:sp>
    <xdr:clientData/>
  </xdr:twoCellAnchor>
  <xdr:twoCellAnchor>
    <xdr:from>
      <xdr:col>19</xdr:col>
      <xdr:colOff>301764</xdr:colOff>
      <xdr:row>27</xdr:row>
      <xdr:rowOff>177452</xdr:rowOff>
    </xdr:from>
    <xdr:to>
      <xdr:col>27</xdr:col>
      <xdr:colOff>553233</xdr:colOff>
      <xdr:row>27</xdr:row>
      <xdr:rowOff>191528</xdr:rowOff>
    </xdr:to>
    <xdr:cxnSp macro="">
      <xdr:nvCxnSpPr>
        <xdr:cNvPr id="60" name="Straight Connector 59">
          <a:extLst>
            <a:ext uri="{FF2B5EF4-FFF2-40B4-BE49-F238E27FC236}">
              <a16:creationId xmlns:a16="http://schemas.microsoft.com/office/drawing/2014/main" id="{8DD1C06F-1B5E-4BD0-80D9-F295E184B96B}"/>
            </a:ext>
          </a:extLst>
        </xdr:cNvPr>
        <xdr:cNvCxnSpPr/>
      </xdr:nvCxnSpPr>
      <xdr:spPr>
        <a:xfrm flipV="1">
          <a:off x="12994805" y="5532329"/>
          <a:ext cx="5595907" cy="14076"/>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386219</xdr:colOff>
      <xdr:row>14</xdr:row>
      <xdr:rowOff>156575</xdr:rowOff>
    </xdr:from>
    <xdr:to>
      <xdr:col>23</xdr:col>
      <xdr:colOff>386222</xdr:colOff>
      <xdr:row>27</xdr:row>
      <xdr:rowOff>73068</xdr:rowOff>
    </xdr:to>
    <xdr:cxnSp macro="">
      <xdr:nvCxnSpPr>
        <xdr:cNvPr id="64" name="Straight Connector 63">
          <a:extLst>
            <a:ext uri="{FF2B5EF4-FFF2-40B4-BE49-F238E27FC236}">
              <a16:creationId xmlns:a16="http://schemas.microsoft.com/office/drawing/2014/main" id="{E04F991A-49DC-49B7-8E0A-4F27DF5E4E80}"/>
            </a:ext>
          </a:extLst>
        </xdr:cNvPr>
        <xdr:cNvCxnSpPr/>
      </xdr:nvCxnSpPr>
      <xdr:spPr>
        <a:xfrm flipH="1" flipV="1">
          <a:off x="15751479" y="2933178"/>
          <a:ext cx="3" cy="2494767"/>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448850</xdr:colOff>
      <xdr:row>16</xdr:row>
      <xdr:rowOff>62630</xdr:rowOff>
    </xdr:from>
    <xdr:to>
      <xdr:col>27</xdr:col>
      <xdr:colOff>480165</xdr:colOff>
      <xdr:row>27</xdr:row>
      <xdr:rowOff>125260</xdr:rowOff>
    </xdr:to>
    <mc:AlternateContent xmlns:mc="http://schemas.openxmlformats.org/markup-compatibility/2006">
      <mc:Choice xmlns:cx2="http://schemas.microsoft.com/office/drawing/2015/10/21/chartex" Requires="cx2">
        <xdr:graphicFrame macro="">
          <xdr:nvGraphicFramePr>
            <xdr:cNvPr id="67" name="Chart 66">
              <a:extLst>
                <a:ext uri="{FF2B5EF4-FFF2-40B4-BE49-F238E27FC236}">
                  <a16:creationId xmlns:a16="http://schemas.microsoft.com/office/drawing/2014/main" id="{EAD699FE-E961-47BC-948A-B201466DD3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814110" y="3235890"/>
              <a:ext cx="2703534" cy="22442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170062</xdr:colOff>
      <xdr:row>14</xdr:row>
      <xdr:rowOff>97920</xdr:rowOff>
    </xdr:from>
    <xdr:to>
      <xdr:col>26</xdr:col>
      <xdr:colOff>201234</xdr:colOff>
      <xdr:row>16</xdr:row>
      <xdr:rowOff>133381</xdr:rowOff>
    </xdr:to>
    <xdr:sp macro="" textlink="">
      <xdr:nvSpPr>
        <xdr:cNvPr id="68" name="TextBox 67">
          <a:extLst>
            <a:ext uri="{FF2B5EF4-FFF2-40B4-BE49-F238E27FC236}">
              <a16:creationId xmlns:a16="http://schemas.microsoft.com/office/drawing/2014/main" id="{BF680E9E-CA04-45CC-9289-F9D54C126A8F}"/>
            </a:ext>
          </a:extLst>
        </xdr:cNvPr>
        <xdr:cNvSpPr txBox="1"/>
      </xdr:nvSpPr>
      <xdr:spPr>
        <a:xfrm>
          <a:off x="15535322" y="2874523"/>
          <a:ext cx="2035337" cy="43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OUTLET</a:t>
          </a:r>
          <a:r>
            <a:rPr lang="en-US" sz="1100" baseline="0">
              <a:latin typeface="Segoe UI Variable Small Semibol" pitchFamily="2" charset="0"/>
            </a:rPr>
            <a:t> LOCATION</a:t>
          </a:r>
          <a:endParaRPr lang="en-US" sz="1100">
            <a:latin typeface="Segoe UI Variable Small Semibol" pitchFamily="2" charset="0"/>
          </a:endParaRPr>
        </a:p>
      </xdr:txBody>
    </xdr:sp>
    <xdr:clientData/>
  </xdr:twoCellAnchor>
  <xdr:twoCellAnchor>
    <xdr:from>
      <xdr:col>19</xdr:col>
      <xdr:colOff>338279</xdr:colOff>
      <xdr:row>29</xdr:row>
      <xdr:rowOff>420</xdr:rowOff>
    </xdr:from>
    <xdr:to>
      <xdr:col>23</xdr:col>
      <xdr:colOff>38705</xdr:colOff>
      <xdr:row>38</xdr:row>
      <xdr:rowOff>163705</xdr:rowOff>
    </xdr:to>
    <xdr:graphicFrame macro="">
      <xdr:nvGraphicFramePr>
        <xdr:cNvPr id="69" name="Chart 68">
          <a:extLst>
            <a:ext uri="{FF2B5EF4-FFF2-40B4-BE49-F238E27FC236}">
              <a16:creationId xmlns:a16="http://schemas.microsoft.com/office/drawing/2014/main" id="{640B1AF0-CEFC-48D3-8060-AF22D0BCF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656936</xdr:colOff>
      <xdr:row>28</xdr:row>
      <xdr:rowOff>32904</xdr:rowOff>
    </xdr:from>
    <xdr:to>
      <xdr:col>22</xdr:col>
      <xdr:colOff>13194</xdr:colOff>
      <xdr:row>30</xdr:row>
      <xdr:rowOff>68365</xdr:rowOff>
    </xdr:to>
    <xdr:sp macro="" textlink="">
      <xdr:nvSpPr>
        <xdr:cNvPr id="72" name="TextBox 71">
          <a:extLst>
            <a:ext uri="{FF2B5EF4-FFF2-40B4-BE49-F238E27FC236}">
              <a16:creationId xmlns:a16="http://schemas.microsoft.com/office/drawing/2014/main" id="{920EBE4F-92C7-428E-B104-7E1190887506}"/>
            </a:ext>
          </a:extLst>
        </xdr:cNvPr>
        <xdr:cNvSpPr txBox="1"/>
      </xdr:nvSpPr>
      <xdr:spPr>
        <a:xfrm>
          <a:off x="12805393" y="5519304"/>
          <a:ext cx="2055915" cy="42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OUTLET</a:t>
          </a:r>
          <a:r>
            <a:rPr lang="en-US" sz="1100" baseline="0">
              <a:latin typeface="Segoe UI Variable Small Semibol" pitchFamily="2" charset="0"/>
            </a:rPr>
            <a:t> TYPE</a:t>
          </a:r>
          <a:endParaRPr lang="en-US" sz="1100">
            <a:latin typeface="Segoe UI Variable Small Semibol" pitchFamily="2" charset="0"/>
          </a:endParaRPr>
        </a:p>
      </xdr:txBody>
    </xdr:sp>
    <xdr:clientData/>
  </xdr:twoCellAnchor>
  <xdr:twoCellAnchor>
    <xdr:from>
      <xdr:col>22</xdr:col>
      <xdr:colOff>478973</xdr:colOff>
      <xdr:row>28</xdr:row>
      <xdr:rowOff>169748</xdr:rowOff>
    </xdr:from>
    <xdr:to>
      <xdr:col>25</xdr:col>
      <xdr:colOff>141514</xdr:colOff>
      <xdr:row>38</xdr:row>
      <xdr:rowOff>190319</xdr:rowOff>
    </xdr:to>
    <xdr:graphicFrame macro="">
      <xdr:nvGraphicFramePr>
        <xdr:cNvPr id="73" name="Chart 72">
          <a:extLst>
            <a:ext uri="{FF2B5EF4-FFF2-40B4-BE49-F238E27FC236}">
              <a16:creationId xmlns:a16="http://schemas.microsoft.com/office/drawing/2014/main" id="{747095DC-83A7-4A7D-9DC5-FE53DF989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69107</xdr:colOff>
      <xdr:row>37</xdr:row>
      <xdr:rowOff>152400</xdr:rowOff>
    </xdr:from>
    <xdr:to>
      <xdr:col>23</xdr:col>
      <xdr:colOff>100279</xdr:colOff>
      <xdr:row>39</xdr:row>
      <xdr:rowOff>108858</xdr:rowOff>
    </xdr:to>
    <xdr:sp macro="" textlink="">
      <xdr:nvSpPr>
        <xdr:cNvPr id="74" name="TextBox 73">
          <a:extLst>
            <a:ext uri="{FF2B5EF4-FFF2-40B4-BE49-F238E27FC236}">
              <a16:creationId xmlns:a16="http://schemas.microsoft.com/office/drawing/2014/main" id="{387C884F-E741-422A-97DA-CC4CA700B4B1}"/>
            </a:ext>
          </a:extLst>
        </xdr:cNvPr>
        <xdr:cNvSpPr txBox="1"/>
      </xdr:nvSpPr>
      <xdr:spPr>
        <a:xfrm>
          <a:off x="13567393" y="7402286"/>
          <a:ext cx="20559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TOTAL SALES</a:t>
          </a:r>
        </a:p>
        <a:p>
          <a:pPr algn="ctr"/>
          <a:endParaRPr lang="en-US" sz="1100">
            <a:latin typeface="Segoe UI Variable Small Semibol" pitchFamily="2" charset="0"/>
          </a:endParaRPr>
        </a:p>
      </xdr:txBody>
    </xdr:sp>
    <xdr:clientData/>
  </xdr:twoCellAnchor>
  <xdr:twoCellAnchor>
    <xdr:from>
      <xdr:col>22</xdr:col>
      <xdr:colOff>384794</xdr:colOff>
      <xdr:row>37</xdr:row>
      <xdr:rowOff>141514</xdr:rowOff>
    </xdr:from>
    <xdr:to>
      <xdr:col>25</xdr:col>
      <xdr:colOff>415966</xdr:colOff>
      <xdr:row>39</xdr:row>
      <xdr:rowOff>97972</xdr:rowOff>
    </xdr:to>
    <xdr:sp macro="" textlink="">
      <xdr:nvSpPr>
        <xdr:cNvPr id="75" name="TextBox 74">
          <a:extLst>
            <a:ext uri="{FF2B5EF4-FFF2-40B4-BE49-F238E27FC236}">
              <a16:creationId xmlns:a16="http://schemas.microsoft.com/office/drawing/2014/main" id="{878FF9ED-CD4D-47BF-BFB7-267ED268D279}"/>
            </a:ext>
          </a:extLst>
        </xdr:cNvPr>
        <xdr:cNvSpPr txBox="1"/>
      </xdr:nvSpPr>
      <xdr:spPr>
        <a:xfrm>
          <a:off x="15232908" y="7391400"/>
          <a:ext cx="20559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AVG SALES</a:t>
          </a:r>
        </a:p>
      </xdr:txBody>
    </xdr:sp>
    <xdr:clientData/>
  </xdr:twoCellAnchor>
  <xdr:twoCellAnchor>
    <xdr:from>
      <xdr:col>25</xdr:col>
      <xdr:colOff>315686</xdr:colOff>
      <xdr:row>28</xdr:row>
      <xdr:rowOff>169748</xdr:rowOff>
    </xdr:from>
    <xdr:to>
      <xdr:col>27</xdr:col>
      <xdr:colOff>533400</xdr:colOff>
      <xdr:row>38</xdr:row>
      <xdr:rowOff>190319</xdr:rowOff>
    </xdr:to>
    <xdr:graphicFrame macro="">
      <xdr:nvGraphicFramePr>
        <xdr:cNvPr id="76" name="Chart 75">
          <a:extLst>
            <a:ext uri="{FF2B5EF4-FFF2-40B4-BE49-F238E27FC236}">
              <a16:creationId xmlns:a16="http://schemas.microsoft.com/office/drawing/2014/main" id="{149F0B11-307C-4A9B-A156-4EA815447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79993</xdr:colOff>
      <xdr:row>37</xdr:row>
      <xdr:rowOff>141761</xdr:rowOff>
    </xdr:from>
    <xdr:to>
      <xdr:col>28</xdr:col>
      <xdr:colOff>111165</xdr:colOff>
      <xdr:row>39</xdr:row>
      <xdr:rowOff>177223</xdr:rowOff>
    </xdr:to>
    <xdr:sp macro="" textlink="">
      <xdr:nvSpPr>
        <xdr:cNvPr id="77" name="TextBox 76">
          <a:extLst>
            <a:ext uri="{FF2B5EF4-FFF2-40B4-BE49-F238E27FC236}">
              <a16:creationId xmlns:a16="http://schemas.microsoft.com/office/drawing/2014/main" id="{08E6CE89-EACD-46C5-9DD0-6AD1D251DC48}"/>
            </a:ext>
          </a:extLst>
        </xdr:cNvPr>
        <xdr:cNvSpPr txBox="1"/>
      </xdr:nvSpPr>
      <xdr:spPr>
        <a:xfrm>
          <a:off x="16952850" y="7391647"/>
          <a:ext cx="2055915" cy="42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Variable Small Semibol" pitchFamily="2" charset="0"/>
            </a:rPr>
            <a:t>NO. OF ITEMS</a:t>
          </a:r>
        </a:p>
      </xdr:txBody>
    </xdr:sp>
    <xdr:clientData/>
  </xdr:twoCellAnchor>
  <xdr:twoCellAnchor editAs="oneCell">
    <xdr:from>
      <xdr:col>6</xdr:col>
      <xdr:colOff>478972</xdr:colOff>
      <xdr:row>15</xdr:row>
      <xdr:rowOff>2972</xdr:rowOff>
    </xdr:from>
    <xdr:to>
      <xdr:col>9</xdr:col>
      <xdr:colOff>446315</xdr:colOff>
      <xdr:row>21</xdr:row>
      <xdr:rowOff>122715</xdr:rowOff>
    </xdr:to>
    <mc:AlternateContent xmlns:mc="http://schemas.openxmlformats.org/markup-compatibility/2006">
      <mc:Choice xmlns:a14="http://schemas.microsoft.com/office/drawing/2010/main" Requires="a14">
        <xdr:graphicFrame macro="">
          <xdr:nvGraphicFramePr>
            <xdr:cNvPr id="81" name="Outlet Location">
              <a:extLst>
                <a:ext uri="{FF2B5EF4-FFF2-40B4-BE49-F238E27FC236}">
                  <a16:creationId xmlns:a16="http://schemas.microsoft.com/office/drawing/2014/main" id="{BA9698EB-185B-47E5-BD60-6EC4CF60466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4528458" y="2942115"/>
              <a:ext cx="1992086"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582386</xdr:colOff>
      <xdr:row>22</xdr:row>
      <xdr:rowOff>21771</xdr:rowOff>
    </xdr:from>
    <xdr:to>
      <xdr:col>9</xdr:col>
      <xdr:colOff>386443</xdr:colOff>
      <xdr:row>36</xdr:row>
      <xdr:rowOff>31546</xdr:rowOff>
    </xdr:to>
    <mc:AlternateContent xmlns:mc="http://schemas.openxmlformats.org/markup-compatibility/2006">
      <mc:Choice xmlns:a14="http://schemas.microsoft.com/office/drawing/2010/main" Requires="a14">
        <xdr:graphicFrame macro="">
          <xdr:nvGraphicFramePr>
            <xdr:cNvPr id="82" name="Item Type 1">
              <a:extLst>
                <a:ext uri="{FF2B5EF4-FFF2-40B4-BE49-F238E27FC236}">
                  <a16:creationId xmlns:a16="http://schemas.microsoft.com/office/drawing/2014/main" id="{B8379A20-03E5-4E5F-9033-1F7168D2E9A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631872" y="4332514"/>
              <a:ext cx="1828800" cy="275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217714</xdr:colOff>
      <xdr:row>37</xdr:row>
      <xdr:rowOff>2</xdr:rowOff>
    </xdr:from>
    <xdr:to>
      <xdr:col>7</xdr:col>
      <xdr:colOff>587829</xdr:colOff>
      <xdr:row>38</xdr:row>
      <xdr:rowOff>167934</xdr:rowOff>
    </xdr:to>
    <xdr:pic>
      <xdr:nvPicPr>
        <xdr:cNvPr id="86" name="Picture 85">
          <a:hlinkClick xmlns:r="http://schemas.openxmlformats.org/officeDocument/2006/relationships" r:id="rId14"/>
          <a:extLst>
            <a:ext uri="{FF2B5EF4-FFF2-40B4-BE49-F238E27FC236}">
              <a16:creationId xmlns:a16="http://schemas.microsoft.com/office/drawing/2014/main" id="{56508385-CF14-F4DB-CB68-33E80AEBC8E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942114" y="7249888"/>
          <a:ext cx="370115" cy="36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283030</xdr:colOff>
      <xdr:row>37</xdr:row>
      <xdr:rowOff>1</xdr:rowOff>
    </xdr:from>
    <xdr:to>
      <xdr:col>8</xdr:col>
      <xdr:colOff>653143</xdr:colOff>
      <xdr:row>38</xdr:row>
      <xdr:rowOff>167931</xdr:rowOff>
    </xdr:to>
    <xdr:pic>
      <xdr:nvPicPr>
        <xdr:cNvPr id="87" name="Picture 86">
          <a:hlinkClick xmlns:r="http://schemas.openxmlformats.org/officeDocument/2006/relationships" r:id="rId16"/>
          <a:extLst>
            <a:ext uri="{FF2B5EF4-FFF2-40B4-BE49-F238E27FC236}">
              <a16:creationId xmlns:a16="http://schemas.microsoft.com/office/drawing/2014/main" id="{843C7480-0F86-DD8A-A38C-C089116306A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682344" y="7249887"/>
          <a:ext cx="370113" cy="363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i Shah" refreshedDate="45748.21490486111" createdVersion="8" refreshedVersion="8" minRefreshableVersion="3" recordCount="8523" xr:uid="{415EEC49-8113-48B0-B5B7-5EC6E0D16A91}">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54428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911A4-0D3B-4B80-A2E2-78145542F012}" name="PivotTable14"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0">
  <location ref="B69:C7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numFmtId="1"/>
  </dataFields>
  <formats count="17">
    <format dxfId="1705">
      <pivotArea type="all" dataOnly="0" outline="0" fieldPosition="0"/>
    </format>
    <format dxfId="1706">
      <pivotArea outline="0" collapsedLevelsAreSubtotals="1" fieldPosition="0"/>
    </format>
    <format dxfId="1707">
      <pivotArea field="0" type="button" dataOnly="0" labelOnly="1" outline="0"/>
    </format>
    <format dxfId="1708">
      <pivotArea dataOnly="0" labelOnly="1" grandRow="1" outline="0" fieldPosition="0"/>
    </format>
    <format dxfId="1709">
      <pivotArea outline="0" collapsedLevelsAreSubtotals="1" fieldPosition="0"/>
    </format>
    <format dxfId="1710">
      <pivotArea type="all" dataOnly="0" outline="0" fieldPosition="0"/>
    </format>
    <format dxfId="1711">
      <pivotArea outline="0" collapsedLevelsAreSubtotals="1" fieldPosition="0"/>
    </format>
    <format dxfId="1712">
      <pivotArea field="6" type="button" dataOnly="0" labelOnly="1" outline="0"/>
    </format>
    <format dxfId="1713">
      <pivotArea type="all" dataOnly="0" outline="0" fieldPosition="0"/>
    </format>
    <format dxfId="1714">
      <pivotArea outline="0" collapsedLevelsAreSubtotals="1" fieldPosition="0"/>
    </format>
    <format dxfId="1715">
      <pivotArea field="6" type="button" dataOnly="0" labelOnly="1" outline="0"/>
    </format>
    <format dxfId="1704">
      <pivotArea outline="0" collapsedLevelsAreSubtotals="1" fieldPosition="0"/>
    </format>
    <format dxfId="1703">
      <pivotArea type="all" dataOnly="0" outline="0" fieldPosition="0"/>
    </format>
    <format dxfId="1702">
      <pivotArea outline="0" collapsedLevelsAreSubtotals="1" fieldPosition="0"/>
    </format>
    <format dxfId="1701">
      <pivotArea field="7" type="button" dataOnly="0" labelOnly="1" outline="0" axis="axisRow" fieldPosition="0"/>
    </format>
    <format dxfId="1700">
      <pivotArea dataOnly="0" labelOnly="1" fieldPosition="0">
        <references count="1">
          <reference field="7" count="0"/>
        </references>
      </pivotArea>
    </format>
    <format dxfId="169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7" count="1" selected="0">
            <x v="1"/>
          </reference>
        </references>
      </pivotArea>
    </chartFormat>
    <chartFormat chart="35" format="4">
      <pivotArea type="data" outline="0" fieldPosition="0">
        <references count="2">
          <reference field="4294967294" count="1" selected="0">
            <x v="0"/>
          </reference>
          <reference field="7" count="1" selected="0">
            <x v="3"/>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CB9D-D61A-42F3-BF51-083AC9BFA00A}" name="PivotTable13"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B59:C6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76"/>
  </dataFields>
  <formats count="17">
    <format dxfId="1717">
      <pivotArea type="all" dataOnly="0" outline="0" fieldPosition="0"/>
    </format>
    <format dxfId="1718">
      <pivotArea outline="0" collapsedLevelsAreSubtotals="1" fieldPosition="0"/>
    </format>
    <format dxfId="1719">
      <pivotArea field="0" type="button" dataOnly="0" labelOnly="1" outline="0"/>
    </format>
    <format dxfId="1720">
      <pivotArea dataOnly="0" labelOnly="1" grandRow="1" outline="0" fieldPosition="0"/>
    </format>
    <format dxfId="1721">
      <pivotArea outline="0" collapsedLevelsAreSubtotals="1" fieldPosition="0"/>
    </format>
    <format dxfId="1722">
      <pivotArea type="all" dataOnly="0" outline="0" fieldPosition="0"/>
    </format>
    <format dxfId="1723">
      <pivotArea outline="0" collapsedLevelsAreSubtotals="1" fieldPosition="0"/>
    </format>
    <format dxfId="1724">
      <pivotArea field="6" type="button" dataOnly="0" labelOnly="1" outline="0"/>
    </format>
    <format dxfId="1725">
      <pivotArea type="all" dataOnly="0" outline="0" fieldPosition="0"/>
    </format>
    <format dxfId="1726">
      <pivotArea outline="0" collapsedLevelsAreSubtotals="1" fieldPosition="0"/>
    </format>
    <format dxfId="1727">
      <pivotArea field="6" type="button" dataOnly="0" labelOnly="1" outline="0"/>
    </format>
    <format dxfId="1716">
      <pivotArea outline="0" collapsedLevelsAreSubtotals="1" fieldPosition="0"/>
    </format>
    <format dxfId="1698">
      <pivotArea type="all" dataOnly="0" outline="0" fieldPosition="0"/>
    </format>
    <format dxfId="1697">
      <pivotArea outline="0" collapsedLevelsAreSubtotals="1" fieldPosition="0"/>
    </format>
    <format dxfId="1696">
      <pivotArea field="7" type="button" dataOnly="0" labelOnly="1" outline="0" axis="axisRow" fieldPosition="0"/>
    </format>
    <format dxfId="1695">
      <pivotArea dataOnly="0" labelOnly="1" fieldPosition="0">
        <references count="1">
          <reference field="7" count="0"/>
        </references>
      </pivotArea>
    </format>
    <format dxfId="169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7" count="1" selected="0">
            <x v="1"/>
          </reference>
        </references>
      </pivotArea>
    </chartFormat>
    <chartFormat chart="35"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0BBC4-6915-4FA9-8DC6-20F445A9E971}" name="PivotTable12"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B51:C5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75"/>
  </dataFields>
  <formats count="10">
    <format dxfId="1728">
      <pivotArea type="all" dataOnly="0" outline="0" fieldPosition="0"/>
    </format>
    <format dxfId="1729">
      <pivotArea outline="0" collapsedLevelsAreSubtotals="1" fieldPosition="0"/>
    </format>
    <format dxfId="1730">
      <pivotArea field="0" type="button" dataOnly="0" labelOnly="1" outline="0"/>
    </format>
    <format dxfId="1731">
      <pivotArea dataOnly="0" labelOnly="1" grandRow="1" outline="0" fieldPosition="0"/>
    </format>
    <format dxfId="1732">
      <pivotArea outline="0" collapsedLevelsAreSubtotals="1" fieldPosition="0"/>
    </format>
    <format dxfId="1693">
      <pivotArea type="all" dataOnly="0" outline="0" fieldPosition="0"/>
    </format>
    <format dxfId="1692">
      <pivotArea outline="0" collapsedLevelsAreSubtotals="1" fieldPosition="0"/>
    </format>
    <format dxfId="1691">
      <pivotArea field="7" type="button" dataOnly="0" labelOnly="1" outline="0" axis="axisRow" fieldPosition="0"/>
    </format>
    <format dxfId="1690">
      <pivotArea dataOnly="0" labelOnly="1" fieldPosition="0">
        <references count="1">
          <reference field="7" count="0"/>
        </references>
      </pivotArea>
    </format>
    <format dxfId="168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C3047-3952-4936-87BC-0ECE01BBAD8A}" name="PivotTable8"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J39:K4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75"/>
  </dataFields>
  <formats count="10">
    <format dxfId="1738">
      <pivotArea type="all" dataOnly="0" outline="0" fieldPosition="0"/>
    </format>
    <format dxfId="1739">
      <pivotArea outline="0" collapsedLevelsAreSubtotals="1" fieldPosition="0"/>
    </format>
    <format dxfId="1740">
      <pivotArea field="0" type="button" dataOnly="0" labelOnly="1" outline="0"/>
    </format>
    <format dxfId="1741">
      <pivotArea dataOnly="0" labelOnly="1" grandRow="1" outline="0" fieldPosition="0"/>
    </format>
    <format dxfId="1742">
      <pivotArea outline="0" collapsedLevelsAreSubtotals="1" fieldPosition="0"/>
    </format>
    <format dxfId="1737">
      <pivotArea type="all" dataOnly="0" outline="0" fieldPosition="0"/>
    </format>
    <format dxfId="1736">
      <pivotArea outline="0" collapsedLevelsAreSubtotals="1" fieldPosition="0"/>
    </format>
    <format dxfId="1735">
      <pivotArea field="5" type="button" dataOnly="0" labelOnly="1" outline="0" axis="axisRow" fieldPosition="0"/>
    </format>
    <format dxfId="1734">
      <pivotArea dataOnly="0" labelOnly="1" fieldPosition="0">
        <references count="1">
          <reference field="5" count="0"/>
        </references>
      </pivotArea>
    </format>
    <format dxfId="173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ECCE5-8656-4D7A-BD9F-81AC550FDD36}" name="PivotTable7"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B40:C4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75"/>
  </dataFields>
  <formats count="15">
    <format dxfId="1753">
      <pivotArea type="all" dataOnly="0" outline="0" fieldPosition="0"/>
    </format>
    <format dxfId="1754">
      <pivotArea outline="0" collapsedLevelsAreSubtotals="1" fieldPosition="0"/>
    </format>
    <format dxfId="1755">
      <pivotArea field="0" type="button" dataOnly="0" labelOnly="1" outline="0"/>
    </format>
    <format dxfId="1756">
      <pivotArea dataOnly="0" labelOnly="1" grandRow="1" outline="0" fieldPosition="0"/>
    </format>
    <format dxfId="1757">
      <pivotArea outline="0" collapsedLevelsAreSubtotals="1" fieldPosition="0"/>
    </format>
    <format dxfId="1752">
      <pivotArea type="all" dataOnly="0" outline="0" fieldPosition="0"/>
    </format>
    <format dxfId="1751">
      <pivotArea outline="0" collapsedLevelsAreSubtotals="1" fieldPosition="0"/>
    </format>
    <format dxfId="1750">
      <pivotArea field="6" type="button" dataOnly="0" labelOnly="1" outline="0" axis="axisRow" fieldPosition="0"/>
    </format>
    <format dxfId="1749">
      <pivotArea dataOnly="0" labelOnly="1" fieldPosition="0">
        <references count="1">
          <reference field="6" count="0"/>
        </references>
      </pivotArea>
    </format>
    <format dxfId="1748">
      <pivotArea dataOnly="0" labelOnly="1" outline="0" axis="axisValues" fieldPosition="0"/>
    </format>
    <format dxfId="1747">
      <pivotArea type="all" dataOnly="0" outline="0" fieldPosition="0"/>
    </format>
    <format dxfId="1746">
      <pivotArea outline="0" collapsedLevelsAreSubtotals="1" fieldPosition="0"/>
    </format>
    <format dxfId="1745">
      <pivotArea field="6" type="button" dataOnly="0" labelOnly="1" outline="0" axis="axisRow" fieldPosition="0"/>
    </format>
    <format dxfId="1744">
      <pivotArea dataOnly="0" labelOnly="1" fieldPosition="0">
        <references count="1">
          <reference field="6" count="0"/>
        </references>
      </pivotArea>
    </format>
    <format dxfId="174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6" count="1" selected="0">
            <x v="0"/>
          </reference>
        </references>
      </pivotArea>
    </chartFormat>
    <chartFormat chart="21" format="7">
      <pivotArea type="data" outline="0" fieldPosition="0">
        <references count="2">
          <reference field="4294967294" count="1" selected="0">
            <x v="0"/>
          </reference>
          <reference field="6" count="1" selected="0">
            <x v="1"/>
          </reference>
        </references>
      </pivotArea>
    </chartFormat>
    <chartFormat chart="21"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2EFE23-A754-48EB-BCFE-2B4A0A486F98}" name="PivotTable6"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24:C3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75"/>
  </dataFields>
  <formats count="10">
    <format dxfId="1763">
      <pivotArea type="all" dataOnly="0" outline="0" fieldPosition="0"/>
    </format>
    <format dxfId="1764">
      <pivotArea outline="0" collapsedLevelsAreSubtotals="1" fieldPosition="0"/>
    </format>
    <format dxfId="1765">
      <pivotArea field="0" type="button" dataOnly="0" labelOnly="1" outline="0"/>
    </format>
    <format dxfId="1766">
      <pivotArea dataOnly="0" labelOnly="1" grandRow="1" outline="0" fieldPosition="0"/>
    </format>
    <format dxfId="1767">
      <pivotArea outline="0" collapsedLevelsAreSubtotals="1" fieldPosition="0"/>
    </format>
    <format dxfId="1762">
      <pivotArea type="all" dataOnly="0" outline="0" fieldPosition="0"/>
    </format>
    <format dxfId="1761">
      <pivotArea outline="0" collapsedLevelsAreSubtotals="1" fieldPosition="0"/>
    </format>
    <format dxfId="1760">
      <pivotArea field="3" type="button" dataOnly="0" labelOnly="1" outline="0" axis="axisRow" fieldPosition="0"/>
    </format>
    <format dxfId="1759">
      <pivotArea dataOnly="0" labelOnly="1" fieldPosition="0">
        <references count="1">
          <reference field="3" count="0"/>
        </references>
      </pivotArea>
    </format>
    <format dxfId="175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4" format="4">
      <pivotArea type="data" outline="0" fieldPosition="0">
        <references count="2">
          <reference field="4294967294" count="1" selected="0">
            <x v="0"/>
          </reference>
          <reference field="3" count="1" selected="0">
            <x v="1"/>
          </reference>
        </references>
      </pivotArea>
    </chartFormat>
    <chartFormat chart="14" format="5">
      <pivotArea type="data" outline="0" fieldPosition="0">
        <references count="2">
          <reference field="4294967294" count="1" selected="0">
            <x v="0"/>
          </reference>
          <reference field="3" count="1" selected="0">
            <x v="2"/>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 chart="14" format="8">
      <pivotArea type="data" outline="0" fieldPosition="0">
        <references count="2">
          <reference field="4294967294" count="1" selected="0">
            <x v="0"/>
          </reference>
          <reference field="3" count="1" selected="0">
            <x v="5"/>
          </reference>
        </references>
      </pivotArea>
    </chartFormat>
    <chartFormat chart="14" format="9">
      <pivotArea type="data" outline="0" fieldPosition="0">
        <references count="2">
          <reference field="4294967294" count="1" selected="0">
            <x v="0"/>
          </reference>
          <reference field="3" count="1" selected="0">
            <x v="6"/>
          </reference>
        </references>
      </pivotArea>
    </chartFormat>
    <chartFormat chart="14" format="10">
      <pivotArea type="data" outline="0" fieldPosition="0">
        <references count="2">
          <reference field="4294967294" count="1" selected="0">
            <x v="0"/>
          </reference>
          <reference field="3" count="1" selected="0">
            <x v="7"/>
          </reference>
        </references>
      </pivotArea>
    </chartFormat>
    <chartFormat chart="14"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1A3D63-1785-4F3A-845F-83217F1832EF}" name="PivotTable5"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H12:I28" firstHeaderRow="1" firstDataRow="1" firstDataCol="1"/>
  <pivotFields count="12">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3"/>
    </i>
    <i>
      <x v="13"/>
    </i>
    <i>
      <x/>
    </i>
    <i>
      <x v="4"/>
    </i>
    <i>
      <x v="8"/>
    </i>
    <i>
      <x v="14"/>
    </i>
    <i>
      <x v="1"/>
    </i>
    <i>
      <x v="5"/>
    </i>
    <i>
      <x v="7"/>
    </i>
    <i>
      <x v="15"/>
    </i>
    <i>
      <x v="12"/>
    </i>
    <i>
      <x v="11"/>
    </i>
    <i>
      <x v="10"/>
    </i>
    <i>
      <x v="6"/>
    </i>
    <i>
      <x v="2"/>
    </i>
    <i>
      <x v="9"/>
    </i>
  </rowItems>
  <colItems count="1">
    <i/>
  </colItems>
  <dataFields count="1">
    <dataField name="Sum of Sales" fld="10" baseField="0" baseItem="0"/>
  </dataFields>
  <formats count="12">
    <format dxfId="1773">
      <pivotArea type="all" dataOnly="0" outline="0" fieldPosition="0"/>
    </format>
    <format dxfId="1774">
      <pivotArea outline="0" collapsedLevelsAreSubtotals="1" fieldPosition="0"/>
    </format>
    <format dxfId="1775">
      <pivotArea type="origin" dataOnly="0" labelOnly="1" outline="0" fieldPosition="0"/>
    </format>
    <format dxfId="1776">
      <pivotArea field="0" type="button" dataOnly="0" labelOnly="1" outline="0"/>
    </format>
    <format dxfId="1777">
      <pivotArea type="topRight" dataOnly="0" labelOnly="1" outline="0" fieldPosition="0"/>
    </format>
    <format dxfId="1778">
      <pivotArea field="5" type="button" dataOnly="0" labelOnly="1" outline="0"/>
    </format>
    <format dxfId="1779">
      <pivotArea outline="0" collapsedLevelsAreSubtotals="1" fieldPosition="0"/>
    </format>
    <format dxfId="1772">
      <pivotArea type="all" dataOnly="0" outline="0" fieldPosition="0"/>
    </format>
    <format dxfId="1771">
      <pivotArea outline="0" collapsedLevelsAreSubtotals="1" fieldPosition="0"/>
    </format>
    <format dxfId="1770">
      <pivotArea field="2" type="button" dataOnly="0" labelOnly="1" outline="0" axis="axisRow" fieldPosition="0"/>
    </format>
    <format dxfId="1769">
      <pivotArea dataOnly="0" labelOnly="1" fieldPosition="0">
        <references count="1">
          <reference field="2" count="0"/>
        </references>
      </pivotArea>
    </format>
    <format dxfId="1768">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D48940-BE18-4258-BAB2-31D7F1818499}" name="PivotTable4"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K5:M9"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75"/>
  </dataFields>
  <formats count="11">
    <format dxfId="1790">
      <pivotArea type="all" dataOnly="0" outline="0" fieldPosition="0"/>
    </format>
    <format dxfId="1789">
      <pivotArea outline="0" collapsedLevelsAreSubtotals="1" fieldPosition="0"/>
    </format>
    <format dxfId="1788">
      <pivotArea type="origin" dataOnly="0" labelOnly="1" outline="0" fieldPosition="0"/>
    </format>
    <format dxfId="1787">
      <pivotArea field="0" type="button" dataOnly="0" labelOnly="1" outline="0" axis="axisCol" fieldPosition="0"/>
    </format>
    <format dxfId="1786">
      <pivotArea type="topRight" dataOnly="0" labelOnly="1" outline="0" fieldPosition="0"/>
    </format>
    <format dxfId="1785">
      <pivotArea field="5" type="button" dataOnly="0" labelOnly="1" outline="0" axis="axisRow" fieldPosition="0"/>
    </format>
    <format dxfId="1784">
      <pivotArea dataOnly="0" labelOnly="1" fieldPosition="0">
        <references count="1">
          <reference field="5" count="0"/>
        </references>
      </pivotArea>
    </format>
    <format dxfId="1783">
      <pivotArea dataOnly="0" labelOnly="1" fieldPosition="0">
        <references count="1">
          <reference field="0" count="0"/>
        </references>
      </pivotArea>
    </format>
    <format dxfId="1782">
      <pivotArea outline="0" collapsedLevelsAreSubtotals="1" fieldPosition="0">
        <references count="1">
          <reference field="0" count="1" selected="0">
            <x v="0"/>
          </reference>
        </references>
      </pivotArea>
    </format>
    <format dxfId="1781">
      <pivotArea outline="0" collapsedLevelsAreSubtotals="1" fieldPosition="0">
        <references count="1">
          <reference field="0" count="1" selected="0">
            <x v="1"/>
          </reference>
        </references>
      </pivotArea>
    </format>
    <format dxfId="1780">
      <pivotArea outline="0" collapsedLevelsAreSubtotals="1" fieldPosition="0"/>
    </format>
  </formats>
  <chartFormats count="10">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1"/>
          </reference>
          <reference field="5" count="1" selected="0">
            <x v="2"/>
          </reference>
        </references>
      </pivotArea>
    </chartFormat>
    <chartFormat chart="5" format="7">
      <pivotArea type="data" outline="0" fieldPosition="0">
        <references count="3">
          <reference field="4294967294" count="1" selected="0">
            <x v="0"/>
          </reference>
          <reference field="0" count="1" selected="0">
            <x v="1"/>
          </reference>
          <reference field="5" count="1" selected="0">
            <x v="1"/>
          </reference>
        </references>
      </pivotArea>
    </chartFormat>
    <chartFormat chart="5" format="8">
      <pivotArea type="data" outline="0" fieldPosition="0">
        <references count="3">
          <reference field="4294967294" count="1" selected="0">
            <x v="0"/>
          </reference>
          <reference field="0" count="1" selected="0">
            <x v="1"/>
          </reference>
          <reference field="5" count="1" selected="0">
            <x v="0"/>
          </reference>
        </references>
      </pivotArea>
    </chartFormat>
    <chartFormat chart="5" format="9">
      <pivotArea type="data" outline="0" fieldPosition="0">
        <references count="3">
          <reference field="4294967294" count="1" selected="0">
            <x v="0"/>
          </reference>
          <reference field="0" count="1" selected="0">
            <x v="0"/>
          </reference>
          <reference field="5" count="1" selected="0">
            <x v="2"/>
          </reference>
        </references>
      </pivotArea>
    </chartFormat>
    <chartFormat chart="5" format="10">
      <pivotArea type="data" outline="0" fieldPosition="0">
        <references count="3">
          <reference field="4294967294" count="1" selected="0">
            <x v="0"/>
          </reference>
          <reference field="0" count="1" selected="0">
            <x v="0"/>
          </reference>
          <reference field="5" count="1" selected="0">
            <x v="1"/>
          </reference>
        </references>
      </pivotArea>
    </chartFormat>
    <chartFormat chart="5" format="11">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F39EFD-2A52-437C-A0DD-1D280FA52A7D}" name="PivotTable3"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11:C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75"/>
  </dataFields>
  <formats count="7">
    <format dxfId="1797">
      <pivotArea type="all" dataOnly="0" outline="0" fieldPosition="0"/>
    </format>
    <format dxfId="1796">
      <pivotArea outline="0" collapsedLevelsAreSubtotals="1" fieldPosition="0"/>
    </format>
    <format dxfId="1795">
      <pivotArea field="0" type="button" dataOnly="0" labelOnly="1" outline="0" axis="axisRow" fieldPosition="0"/>
    </format>
    <format dxfId="1794">
      <pivotArea dataOnly="0" labelOnly="1" fieldPosition="0">
        <references count="1">
          <reference field="0" count="0"/>
        </references>
      </pivotArea>
    </format>
    <format dxfId="1793">
      <pivotArea dataOnly="0" labelOnly="1" grandRow="1" outline="0" fieldPosition="0"/>
    </format>
    <format dxfId="1792">
      <pivotArea dataOnly="0" labelOnly="1" outline="0" axis="axisValues" fieldPosition="0"/>
    </format>
    <format dxfId="179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008852-AAF0-461C-994B-C1475A71EFFD}"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dataField name="Average Rating" fld="11" subtotal="average" baseField="0" baseItem="2"/>
    <dataField name="No. of items " fld="2" subtotal="count" baseField="0" baseItem="1"/>
  </dataFields>
  <formats count="3">
    <format dxfId="1800">
      <pivotArea type="all" dataOnly="0" outline="0" fieldPosition="0"/>
    </format>
    <format dxfId="1799">
      <pivotArea outline="0" collapsedLevelsAreSubtotals="1" fieldPosition="0"/>
    </format>
    <format dxfId="179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2F23090-CBB9-4921-AE16-B75B37F3D53F}" sourceName="Outlet Siz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2"/>
    <pivotTable tabId="3" name="PivotTable13"/>
    <pivotTable tabId="3" name="PivotTable14"/>
  </pivotTables>
  <data>
    <tabular pivotCacheId="135442838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EE8DE41-0F0F-463F-B08B-212D1CDE7974}" sourceName="Item Type">
  <pivotTables>
    <pivotTable tabId="3" name="PivotTable3"/>
    <pivotTable tabId="3" name="PivotTable12"/>
    <pivotTable tabId="3" name="PivotTable13"/>
    <pivotTable tabId="3" name="PivotTable14"/>
    <pivotTable tabId="3" name="PivotTable2"/>
    <pivotTable tabId="3" name="PivotTable4"/>
    <pivotTable tabId="3" name="PivotTable5"/>
    <pivotTable tabId="3" name="PivotTable6"/>
    <pivotTable tabId="3" name="PivotTable7"/>
    <pivotTable tabId="3" name="PivotTable8"/>
  </pivotTables>
  <data>
    <tabular pivotCacheId="135442838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D9F0888-B547-4A38-970F-C50E3B78FF99}" sourceName="Outlet Location Type">
  <pivotTables>
    <pivotTable tabId="3" name="PivotTable3"/>
    <pivotTable tabId="3" name="PivotTable12"/>
    <pivotTable tabId="3" name="PivotTable13"/>
    <pivotTable tabId="3" name="PivotTable14"/>
    <pivotTable tabId="3" name="PivotTable2"/>
    <pivotTable tabId="3" name="PivotTable4"/>
    <pivotTable tabId="3" name="PivotTable5"/>
    <pivotTable tabId="3" name="PivotTable6"/>
    <pivotTable tabId="3" name="PivotTable7"/>
    <pivotTable tabId="3" name="PivotTable8"/>
  </pivotTables>
  <data>
    <tabular pivotCacheId="13544283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59F1047-D9A3-4E55-8BE6-D0A20021E77D}" cache="Slicer_Outlet_Size" caption="Outlet Size" rowHeight="260350"/>
  <slicer name="Item Type" xr10:uid="{8EDFD2D8-2265-4CB4-BEB0-4E468304F6C0}" cache="Slicer_Item_Type" caption="Item Type" rowHeight="260350"/>
  <slicer name="Outlet Location Type" xr10:uid="{B72FF9A1-1CB8-480A-B189-C4CCA00957FD}"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4FC5D1E-68C1-4BFD-BD88-AD5EC37A0FED}" cache="Slicer_Outlet_Size" caption="Outlet Size" style="SlicerStyleLight4 2" rowHeight="260350"/>
  <slicer name="Item Type 1" xr10:uid="{C2BD7975-7B4E-49EB-8721-E96F6C931442}" cache="Slicer_Item_Type" caption="Item Type" style="SlicerStyleLight4 2" rowHeight="260350"/>
  <slicer name="Outlet Location" xr10:uid="{31064769-A8EE-4630-8A65-3B91EB2A489B}" cache="Slicer_Outlet_Location_Type" caption="Outlet Location "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E571-CD4E-408B-9A29-9A94A263C1F6}">
  <dimension ref="A2:P216"/>
  <sheetViews>
    <sheetView zoomScale="85" zoomScaleNormal="85" workbookViewId="0"/>
  </sheetViews>
  <sheetFormatPr defaultRowHeight="15.6" x14ac:dyDescent="0.3"/>
  <cols>
    <col min="1" max="1" width="12.69921875" bestFit="1" customWidth="1"/>
    <col min="2" max="2" width="12.796875" bestFit="1" customWidth="1"/>
    <col min="3" max="3" width="11.5" bestFit="1" customWidth="1"/>
    <col min="4" max="4" width="11.69921875" bestFit="1" customWidth="1"/>
    <col min="5" max="6" width="17.5" bestFit="1" customWidth="1"/>
    <col min="7" max="7" width="17.296875" bestFit="1" customWidth="1"/>
    <col min="8" max="8" width="19.09765625" bestFit="1" customWidth="1"/>
    <col min="9" max="9" width="11.5" bestFit="1" customWidth="1"/>
    <col min="10" max="10" width="12.796875" bestFit="1" customWidth="1"/>
    <col min="11" max="11" width="11.5" bestFit="1" customWidth="1"/>
    <col min="12" max="12" width="15.3984375" bestFit="1" customWidth="1"/>
    <col min="13" max="13" width="8.8984375" bestFit="1" customWidth="1"/>
    <col min="14" max="21" width="11.8984375" bestFit="1" customWidth="1"/>
  </cols>
  <sheetData>
    <row r="2" spans="1:15" x14ac:dyDescent="0.3">
      <c r="A2" s="14"/>
      <c r="B2" s="15" t="s">
        <v>1614</v>
      </c>
      <c r="C2" s="15"/>
      <c r="D2" s="16"/>
      <c r="E2" s="17"/>
    </row>
    <row r="3" spans="1:15" ht="16.2" thickBot="1" x14ac:dyDescent="0.35">
      <c r="A3" s="20" t="s">
        <v>1610</v>
      </c>
      <c r="B3" s="21" t="s">
        <v>1611</v>
      </c>
      <c r="C3" s="21" t="s">
        <v>1613</v>
      </c>
      <c r="D3" s="7" t="s">
        <v>1612</v>
      </c>
      <c r="E3" s="11"/>
    </row>
    <row r="4" spans="1:15" ht="16.2" thickBot="1" x14ac:dyDescent="0.35">
      <c r="A4" s="6">
        <v>1201681.4928000034</v>
      </c>
      <c r="B4" s="18">
        <v>140.99278338613203</v>
      </c>
      <c r="C4" s="18">
        <v>3.9658570925731196</v>
      </c>
      <c r="D4" s="19">
        <v>8523</v>
      </c>
      <c r="E4" s="11"/>
      <c r="K4" s="25" t="s">
        <v>1618</v>
      </c>
      <c r="L4" s="39"/>
      <c r="M4" s="39"/>
      <c r="N4" s="39"/>
      <c r="O4" s="28"/>
    </row>
    <row r="5" spans="1:15" ht="16.2" thickBot="1" x14ac:dyDescent="0.35">
      <c r="A5" s="10"/>
      <c r="B5" s="1"/>
      <c r="C5" s="1"/>
      <c r="D5" s="1"/>
      <c r="E5" s="11"/>
      <c r="K5" s="32" t="s">
        <v>1610</v>
      </c>
      <c r="L5" s="32" t="s">
        <v>1619</v>
      </c>
      <c r="M5" s="35"/>
      <c r="N5" s="1"/>
      <c r="O5" s="29"/>
    </row>
    <row r="6" spans="1:15" ht="19.8" thickBot="1" x14ac:dyDescent="0.5">
      <c r="A6" s="22">
        <f>GETPIVOTDATA("Sum of Sales",$A$3)</f>
        <v>1201681.4928000034</v>
      </c>
      <c r="B6" s="2">
        <f>GETPIVOTDATA("Average Sales",$A$3)</f>
        <v>140.99278338613203</v>
      </c>
      <c r="C6" s="3">
        <f>GETPIVOTDATA("Average Rating",$A$3)</f>
        <v>3.9658570925731196</v>
      </c>
      <c r="D6" s="1">
        <f>GETPIVOTDATA("No. of items ",$A$3)</f>
        <v>8523</v>
      </c>
      <c r="E6" s="11"/>
      <c r="K6" s="32" t="s">
        <v>1616</v>
      </c>
      <c r="L6" s="46" t="s">
        <v>10</v>
      </c>
      <c r="M6" s="55" t="s">
        <v>17</v>
      </c>
      <c r="N6" s="1"/>
      <c r="O6" s="29"/>
    </row>
    <row r="7" spans="1:15" x14ac:dyDescent="0.3">
      <c r="A7" s="12"/>
      <c r="B7" s="4"/>
      <c r="C7" s="4"/>
      <c r="D7" s="4"/>
      <c r="E7" s="13"/>
      <c r="K7" s="33" t="s">
        <v>14</v>
      </c>
      <c r="L7" s="47">
        <v>121349.89940000001</v>
      </c>
      <c r="M7" s="53">
        <v>215047.9126000001</v>
      </c>
      <c r="N7" s="1"/>
      <c r="O7" s="29"/>
    </row>
    <row r="8" spans="1:15" x14ac:dyDescent="0.3">
      <c r="K8" s="44" t="s">
        <v>34</v>
      </c>
      <c r="L8" s="56">
        <v>138685.86819999994</v>
      </c>
      <c r="M8" s="41">
        <v>254464.77940000014</v>
      </c>
      <c r="N8" s="1"/>
      <c r="O8" s="29"/>
    </row>
    <row r="9" spans="1:15" ht="16.2" thickBot="1" x14ac:dyDescent="0.35">
      <c r="K9" s="34" t="s">
        <v>21</v>
      </c>
      <c r="L9" s="54">
        <v>165326.0368</v>
      </c>
      <c r="M9" s="42">
        <v>306806.99640000012</v>
      </c>
      <c r="N9" s="30"/>
      <c r="O9" s="31"/>
    </row>
    <row r="10" spans="1:15" ht="16.2" thickBot="1" x14ac:dyDescent="0.35">
      <c r="B10" s="25" t="s">
        <v>1617</v>
      </c>
      <c r="C10" s="26"/>
      <c r="D10" s="27"/>
      <c r="E10" s="28"/>
    </row>
    <row r="11" spans="1:15" ht="16.2" thickBot="1" x14ac:dyDescent="0.35">
      <c r="B11" s="32" t="s">
        <v>1616</v>
      </c>
      <c r="C11" s="35" t="s">
        <v>1610</v>
      </c>
      <c r="D11" s="1"/>
      <c r="E11" s="29"/>
      <c r="H11" s="39" t="s">
        <v>1620</v>
      </c>
      <c r="I11" s="57"/>
      <c r="J11" s="39"/>
      <c r="K11" s="39"/>
      <c r="L11" s="39"/>
      <c r="M11" s="39"/>
      <c r="N11" s="39"/>
    </row>
    <row r="12" spans="1:15" x14ac:dyDescent="0.3">
      <c r="B12" s="33" t="s">
        <v>17</v>
      </c>
      <c r="C12" s="36">
        <v>776319.68840000057</v>
      </c>
      <c r="D12" s="1"/>
      <c r="E12" s="29"/>
      <c r="H12" s="51" t="s">
        <v>1616</v>
      </c>
      <c r="I12" s="5" t="s">
        <v>1610</v>
      </c>
      <c r="J12" s="8"/>
      <c r="K12" s="8"/>
      <c r="L12" s="8"/>
      <c r="M12" s="8"/>
      <c r="N12" s="9"/>
    </row>
    <row r="13" spans="1:15" ht="16.2" thickBot="1" x14ac:dyDescent="0.35">
      <c r="B13" s="34" t="s">
        <v>10</v>
      </c>
      <c r="C13" s="37">
        <v>425361.8043999995</v>
      </c>
      <c r="D13" s="1"/>
      <c r="E13" s="29"/>
      <c r="H13" s="52" t="s">
        <v>153</v>
      </c>
      <c r="I13" s="48">
        <v>9077.869999999999</v>
      </c>
      <c r="J13" s="1"/>
      <c r="K13" s="1"/>
      <c r="L13" s="1"/>
      <c r="M13" s="1"/>
      <c r="N13" s="11"/>
    </row>
    <row r="14" spans="1:15" ht="16.2" thickBot="1" x14ac:dyDescent="0.35">
      <c r="D14" s="30"/>
      <c r="E14" s="31"/>
      <c r="H14" s="23" t="s">
        <v>74</v>
      </c>
      <c r="I14" s="49">
        <v>15596.696600000001</v>
      </c>
      <c r="J14" s="1"/>
      <c r="K14" s="1"/>
      <c r="L14" s="1"/>
      <c r="M14" s="1"/>
      <c r="N14" s="11"/>
    </row>
    <row r="15" spans="1:15" x14ac:dyDescent="0.3">
      <c r="H15" s="23" t="s">
        <v>159</v>
      </c>
      <c r="I15" s="49">
        <v>21880.027399999992</v>
      </c>
      <c r="J15" s="1"/>
      <c r="K15" s="1"/>
      <c r="L15" s="1"/>
      <c r="M15" s="1"/>
      <c r="N15" s="11"/>
    </row>
    <row r="16" spans="1:15" x14ac:dyDescent="0.3">
      <c r="H16" s="23" t="s">
        <v>64</v>
      </c>
      <c r="I16" s="49">
        <v>22451.891599999999</v>
      </c>
      <c r="J16" s="1"/>
      <c r="K16" s="1"/>
      <c r="L16" s="1"/>
      <c r="M16" s="1"/>
      <c r="N16" s="11"/>
    </row>
    <row r="17" spans="2:14" x14ac:dyDescent="0.3">
      <c r="H17" s="23" t="s">
        <v>61</v>
      </c>
      <c r="I17" s="49">
        <v>29334.680599999996</v>
      </c>
      <c r="J17" s="1"/>
      <c r="K17" s="1"/>
      <c r="L17" s="1"/>
      <c r="M17" s="1"/>
      <c r="N17" s="11"/>
    </row>
    <row r="18" spans="2:14" x14ac:dyDescent="0.3">
      <c r="H18" s="23" t="s">
        <v>57</v>
      </c>
      <c r="I18" s="49">
        <v>35379.119800000015</v>
      </c>
      <c r="J18" s="1"/>
      <c r="K18" s="1"/>
      <c r="L18" s="1"/>
      <c r="M18" s="1"/>
      <c r="N18" s="11"/>
    </row>
    <row r="19" spans="2:14" x14ac:dyDescent="0.3">
      <c r="H19" s="23" t="s">
        <v>32</v>
      </c>
      <c r="I19" s="49">
        <v>58514.166999999987</v>
      </c>
      <c r="J19" s="1"/>
      <c r="K19" s="1"/>
      <c r="L19" s="1"/>
      <c r="M19" s="1"/>
      <c r="N19" s="11"/>
    </row>
    <row r="20" spans="2:14" x14ac:dyDescent="0.3">
      <c r="H20" s="23" t="s">
        <v>54</v>
      </c>
      <c r="I20" s="49">
        <v>59449.863799999992</v>
      </c>
      <c r="J20" s="1"/>
      <c r="K20" s="1"/>
      <c r="L20" s="1"/>
      <c r="M20" s="1"/>
      <c r="N20" s="11"/>
    </row>
    <row r="21" spans="2:14" x14ac:dyDescent="0.3">
      <c r="H21" s="23" t="s">
        <v>19</v>
      </c>
      <c r="I21" s="49">
        <v>68025.838800000012</v>
      </c>
      <c r="J21" s="1"/>
      <c r="K21" s="1"/>
      <c r="L21" s="1"/>
      <c r="M21" s="1"/>
      <c r="N21" s="11"/>
    </row>
    <row r="22" spans="2:14" ht="16.2" thickBot="1" x14ac:dyDescent="0.35">
      <c r="H22" s="23" t="s">
        <v>95</v>
      </c>
      <c r="I22" s="49">
        <v>81894.736400000009</v>
      </c>
      <c r="J22" s="1"/>
      <c r="K22" s="1"/>
      <c r="L22" s="1"/>
      <c r="M22" s="1"/>
      <c r="N22" s="11"/>
    </row>
    <row r="23" spans="2:14" x14ac:dyDescent="0.3">
      <c r="B23" s="39" t="s">
        <v>1621</v>
      </c>
      <c r="C23" s="39"/>
      <c r="D23" s="39"/>
      <c r="E23" s="39"/>
      <c r="F23" s="39"/>
      <c r="H23" s="23" t="s">
        <v>28</v>
      </c>
      <c r="I23" s="49">
        <v>90706.728999999992</v>
      </c>
      <c r="J23" s="1"/>
      <c r="K23" s="1"/>
      <c r="L23" s="1"/>
      <c r="M23" s="1"/>
      <c r="N23" s="11"/>
    </row>
    <row r="24" spans="2:14" x14ac:dyDescent="0.3">
      <c r="B24" s="51" t="s">
        <v>1616</v>
      </c>
      <c r="C24" s="5" t="s">
        <v>1610</v>
      </c>
      <c r="D24" s="5"/>
      <c r="E24" s="5"/>
      <c r="F24" s="5"/>
      <c r="H24" s="23" t="s">
        <v>67</v>
      </c>
      <c r="I24" s="49">
        <v>101276.46159999995</v>
      </c>
      <c r="J24" s="1"/>
      <c r="K24" s="1"/>
      <c r="L24" s="1"/>
      <c r="M24" s="1"/>
      <c r="N24" s="11"/>
    </row>
    <row r="25" spans="2:14" x14ac:dyDescent="0.3">
      <c r="B25" s="52">
        <v>2011</v>
      </c>
      <c r="C25" s="48">
        <v>78131.566599999976</v>
      </c>
      <c r="D25" s="7"/>
      <c r="E25" s="5"/>
      <c r="F25" s="5"/>
      <c r="H25" s="23" t="s">
        <v>24</v>
      </c>
      <c r="I25" s="49">
        <v>118558.88140000009</v>
      </c>
      <c r="J25" s="1"/>
      <c r="K25" s="1"/>
      <c r="L25" s="1"/>
      <c r="M25" s="1"/>
      <c r="N25" s="11"/>
    </row>
    <row r="26" spans="2:14" x14ac:dyDescent="0.3">
      <c r="B26" s="23">
        <v>2012</v>
      </c>
      <c r="C26" s="49">
        <v>130476.85979999998</v>
      </c>
      <c r="D26" s="7"/>
      <c r="E26" s="5"/>
      <c r="F26" s="5"/>
      <c r="H26" s="23" t="s">
        <v>42</v>
      </c>
      <c r="I26" s="49">
        <v>135976.52539999998</v>
      </c>
      <c r="J26" s="1"/>
      <c r="K26" s="1"/>
      <c r="L26" s="1"/>
      <c r="M26" s="1"/>
      <c r="N26" s="11"/>
    </row>
    <row r="27" spans="2:14" x14ac:dyDescent="0.3">
      <c r="B27" s="23">
        <v>2014</v>
      </c>
      <c r="C27" s="49">
        <v>131809.01560000007</v>
      </c>
      <c r="D27" s="7"/>
      <c r="E27" s="5"/>
      <c r="F27" s="5"/>
      <c r="H27" s="23" t="s">
        <v>48</v>
      </c>
      <c r="I27" s="49">
        <v>175433.92240000021</v>
      </c>
      <c r="J27" s="1"/>
      <c r="K27" s="1"/>
      <c r="L27" s="1"/>
      <c r="M27" s="1"/>
      <c r="N27" s="11"/>
    </row>
    <row r="28" spans="2:14" x14ac:dyDescent="0.3">
      <c r="B28" s="23">
        <v>2015</v>
      </c>
      <c r="C28" s="49">
        <v>130942.78019999999</v>
      </c>
      <c r="D28" s="7"/>
      <c r="E28" s="5"/>
      <c r="F28" s="5"/>
      <c r="H28" s="24" t="s">
        <v>12</v>
      </c>
      <c r="I28" s="50">
        <v>178124.08099999995</v>
      </c>
      <c r="J28" s="4"/>
      <c r="K28" s="4"/>
      <c r="L28" s="4"/>
      <c r="M28" s="4"/>
      <c r="N28" s="13"/>
    </row>
    <row r="29" spans="2:14" x14ac:dyDescent="0.3">
      <c r="B29" s="23">
        <v>2016</v>
      </c>
      <c r="C29" s="49">
        <v>132113.36980000007</v>
      </c>
      <c r="D29" s="7"/>
      <c r="E29" s="5"/>
      <c r="F29" s="5"/>
    </row>
    <row r="30" spans="2:14" x14ac:dyDescent="0.3">
      <c r="B30" s="23">
        <v>2017</v>
      </c>
      <c r="C30" s="49">
        <v>133103.90699999989</v>
      </c>
      <c r="D30" s="7"/>
      <c r="E30" s="5"/>
      <c r="F30" s="5"/>
    </row>
    <row r="31" spans="2:14" x14ac:dyDescent="0.3">
      <c r="B31" s="23">
        <v>2018</v>
      </c>
      <c r="C31" s="49">
        <v>204522.25700000025</v>
      </c>
      <c r="D31" s="7"/>
      <c r="E31" s="5"/>
      <c r="F31" s="5"/>
    </row>
    <row r="32" spans="2:14" x14ac:dyDescent="0.3">
      <c r="B32" s="23">
        <v>2020</v>
      </c>
      <c r="C32" s="49">
        <v>129103.96039999987</v>
      </c>
      <c r="D32" s="7"/>
      <c r="E32" s="5"/>
      <c r="F32" s="5"/>
    </row>
    <row r="33" spans="2:16" x14ac:dyDescent="0.3">
      <c r="B33" s="24">
        <v>2022</v>
      </c>
      <c r="C33" s="50">
        <v>131477.77639999994</v>
      </c>
      <c r="D33" s="7"/>
      <c r="E33" s="5"/>
      <c r="F33" s="5"/>
    </row>
    <row r="35" spans="2:16" x14ac:dyDescent="0.3">
      <c r="N35" s="1"/>
      <c r="O35" s="29"/>
    </row>
    <row r="36" spans="2:16" ht="16.2" thickBot="1" x14ac:dyDescent="0.35">
      <c r="N36" s="1"/>
      <c r="O36" s="29"/>
    </row>
    <row r="37" spans="2:16" ht="16.2" thickBot="1" x14ac:dyDescent="0.35">
      <c r="I37" s="45"/>
      <c r="J37" s="27"/>
      <c r="K37" s="27"/>
      <c r="L37" s="27"/>
      <c r="M37" s="27"/>
      <c r="N37" s="66"/>
      <c r="O37" s="55"/>
      <c r="P37" s="28"/>
    </row>
    <row r="38" spans="2:16" ht="16.2" thickBot="1" x14ac:dyDescent="0.35">
      <c r="I38" s="40"/>
      <c r="J38" s="1"/>
      <c r="K38" s="1"/>
      <c r="L38" s="62" t="s">
        <v>1625</v>
      </c>
      <c r="M38" s="38"/>
      <c r="N38" s="38"/>
      <c r="O38" s="63"/>
      <c r="P38" s="29"/>
    </row>
    <row r="39" spans="2:16" ht="16.2" thickBot="1" x14ac:dyDescent="0.35">
      <c r="B39" s="59" t="s">
        <v>1622</v>
      </c>
      <c r="C39" s="60"/>
      <c r="D39" s="60"/>
      <c r="E39" s="61"/>
      <c r="I39" s="40"/>
      <c r="J39" s="32" t="s">
        <v>1616</v>
      </c>
      <c r="K39" s="35" t="s">
        <v>1610</v>
      </c>
      <c r="L39" s="40" t="s">
        <v>1623</v>
      </c>
      <c r="M39" s="1" t="s">
        <v>1624</v>
      </c>
      <c r="N39" s="1"/>
      <c r="O39" s="29"/>
      <c r="P39" s="29"/>
    </row>
    <row r="40" spans="2:16" ht="16.2" thickBot="1" x14ac:dyDescent="0.35">
      <c r="B40" s="32" t="s">
        <v>1616</v>
      </c>
      <c r="C40" s="35" t="s">
        <v>1610</v>
      </c>
      <c r="D40" s="27"/>
      <c r="E40" s="28"/>
      <c r="I40" s="40"/>
      <c r="J40" s="33" t="s">
        <v>21</v>
      </c>
      <c r="K40" s="36">
        <v>472133.03319999954</v>
      </c>
      <c r="L40" s="40" t="str">
        <f>J40</f>
        <v>Tier 3</v>
      </c>
      <c r="M40" s="41">
        <f>GETPIVOTDATA("Sales",$J$39,"Outlet Location Type","Tier 3")</f>
        <v>472133.03319999954</v>
      </c>
      <c r="N40" s="1"/>
      <c r="O40" s="29"/>
      <c r="P40" s="29"/>
    </row>
    <row r="41" spans="2:16" x14ac:dyDescent="0.3">
      <c r="B41" s="33" t="s">
        <v>30</v>
      </c>
      <c r="C41" s="36">
        <v>248991.58600000024</v>
      </c>
      <c r="D41" s="1"/>
      <c r="E41" s="29"/>
      <c r="I41" s="40"/>
      <c r="J41" s="44" t="s">
        <v>34</v>
      </c>
      <c r="K41" s="43">
        <v>393150.64759999956</v>
      </c>
      <c r="L41" s="40" t="str">
        <f>J41</f>
        <v>Tier 2</v>
      </c>
      <c r="M41" s="41">
        <f>GETPIVOTDATA("Sales",$J$39,"Outlet Location Type","Tier 2")</f>
        <v>393150.64759999956</v>
      </c>
      <c r="N41" s="1"/>
      <c r="O41" s="29"/>
      <c r="P41" s="29"/>
    </row>
    <row r="42" spans="2:16" ht="16.2" thickBot="1" x14ac:dyDescent="0.35">
      <c r="B42" s="44" t="s">
        <v>15</v>
      </c>
      <c r="C42" s="43">
        <v>507895.7363999993</v>
      </c>
      <c r="D42" s="1"/>
      <c r="E42" s="29"/>
      <c r="I42" s="40"/>
      <c r="J42" s="34" t="s">
        <v>14</v>
      </c>
      <c r="K42" s="37">
        <v>336397.81199999945</v>
      </c>
      <c r="L42" s="58" t="str">
        <f>J42</f>
        <v>Tier 1</v>
      </c>
      <c r="M42" s="42">
        <f>GETPIVOTDATA("Sales",$J$39,"Outlet Location Type","Tier 1")</f>
        <v>336397.81199999945</v>
      </c>
      <c r="N42" s="30"/>
      <c r="O42" s="31"/>
      <c r="P42" s="29"/>
    </row>
    <row r="43" spans="2:16" ht="16.2" thickBot="1" x14ac:dyDescent="0.35">
      <c r="B43" s="34" t="s">
        <v>26</v>
      </c>
      <c r="C43" s="37">
        <v>444794.17039999936</v>
      </c>
      <c r="D43" s="1"/>
      <c r="E43" s="29"/>
      <c r="I43" s="40"/>
      <c r="J43" s="1"/>
      <c r="K43" s="1"/>
      <c r="L43" s="1"/>
      <c r="M43" s="1"/>
      <c r="N43" s="1"/>
      <c r="O43" s="1"/>
      <c r="P43" s="29"/>
    </row>
    <row r="44" spans="2:16" x14ac:dyDescent="0.3">
      <c r="B44" s="40"/>
      <c r="C44" s="1"/>
      <c r="D44" s="1"/>
      <c r="E44" s="29"/>
      <c r="I44" s="40"/>
      <c r="J44" s="1"/>
      <c r="K44" s="1"/>
      <c r="L44" s="1"/>
      <c r="M44" s="1"/>
      <c r="N44" s="1"/>
      <c r="O44" s="1"/>
      <c r="P44" s="29"/>
    </row>
    <row r="45" spans="2:16" ht="16.2" thickBot="1" x14ac:dyDescent="0.35">
      <c r="B45" s="58"/>
      <c r="C45" s="30"/>
      <c r="D45" s="30"/>
      <c r="E45" s="31"/>
      <c r="I45" s="40"/>
      <c r="J45" s="1"/>
      <c r="K45" s="1"/>
      <c r="L45" s="1"/>
      <c r="M45" s="1"/>
      <c r="N45" s="1"/>
      <c r="O45" s="1"/>
      <c r="P45" s="29"/>
    </row>
    <row r="46" spans="2:16" x14ac:dyDescent="0.3">
      <c r="I46" s="40"/>
      <c r="J46" s="1"/>
      <c r="K46" s="1"/>
      <c r="L46" s="1"/>
      <c r="M46" s="1"/>
      <c r="N46" s="1"/>
      <c r="O46" s="1"/>
      <c r="P46" s="29"/>
    </row>
    <row r="47" spans="2:16" x14ac:dyDescent="0.3">
      <c r="I47" s="40"/>
      <c r="J47" s="1"/>
      <c r="K47" s="1"/>
      <c r="L47" s="1"/>
      <c r="M47" s="1"/>
      <c r="N47" s="1"/>
      <c r="O47" s="1"/>
      <c r="P47" s="29"/>
    </row>
    <row r="48" spans="2:16" ht="16.2" thickBot="1" x14ac:dyDescent="0.35">
      <c r="I48" s="58"/>
      <c r="J48" s="30"/>
      <c r="K48" s="30"/>
      <c r="L48" s="30"/>
      <c r="M48" s="30"/>
      <c r="N48" s="30"/>
      <c r="O48" s="30"/>
      <c r="P48" s="31"/>
    </row>
    <row r="49" spans="2:12" x14ac:dyDescent="0.3">
      <c r="B49" s="62" t="s">
        <v>1628</v>
      </c>
      <c r="C49" s="38"/>
      <c r="D49" s="38"/>
      <c r="E49" s="38"/>
      <c r="F49" s="28"/>
    </row>
    <row r="50" spans="2:12" ht="16.2" thickBot="1" x14ac:dyDescent="0.35">
      <c r="B50" s="40"/>
      <c r="C50" s="1"/>
      <c r="D50" s="1"/>
      <c r="E50" s="1"/>
      <c r="F50" s="29"/>
    </row>
    <row r="51" spans="2:12" ht="16.2" thickBot="1" x14ac:dyDescent="0.35">
      <c r="B51" s="32" t="s">
        <v>1616</v>
      </c>
      <c r="C51" s="35" t="s">
        <v>1610</v>
      </c>
      <c r="D51" s="1"/>
      <c r="E51" s="1"/>
      <c r="F51" s="29"/>
      <c r="L51" s="35"/>
    </row>
    <row r="52" spans="2:12" x14ac:dyDescent="0.3">
      <c r="B52" s="33" t="s">
        <v>40</v>
      </c>
      <c r="C52" s="36">
        <v>151939.149</v>
      </c>
      <c r="D52" s="1"/>
      <c r="E52" s="1"/>
      <c r="F52" s="29"/>
    </row>
    <row r="53" spans="2:12" x14ac:dyDescent="0.3">
      <c r="B53" s="44" t="s">
        <v>46</v>
      </c>
      <c r="C53" s="43">
        <v>130714.67460000006</v>
      </c>
      <c r="D53" s="1"/>
      <c r="E53" s="1"/>
      <c r="F53" s="29"/>
    </row>
    <row r="54" spans="2:12" x14ac:dyDescent="0.3">
      <c r="B54" s="44" t="s">
        <v>22</v>
      </c>
      <c r="C54" s="43">
        <v>131477.77639999994</v>
      </c>
      <c r="D54" s="1"/>
      <c r="E54" s="1"/>
      <c r="F54" s="29"/>
    </row>
    <row r="55" spans="2:12" ht="16.2" thickBot="1" x14ac:dyDescent="0.35">
      <c r="B55" s="34" t="s">
        <v>16</v>
      </c>
      <c r="C55" s="37">
        <v>787549.89280000131</v>
      </c>
      <c r="D55" s="1"/>
      <c r="E55" s="1"/>
      <c r="F55" s="29"/>
    </row>
    <row r="56" spans="2:12" x14ac:dyDescent="0.3">
      <c r="B56" s="40"/>
      <c r="C56" s="1"/>
      <c r="D56" s="1"/>
      <c r="E56" s="1"/>
      <c r="F56" s="29"/>
    </row>
    <row r="57" spans="2:12" x14ac:dyDescent="0.3">
      <c r="B57" s="40"/>
      <c r="C57" s="1"/>
      <c r="D57" s="1"/>
      <c r="E57" s="1"/>
      <c r="F57" s="29"/>
    </row>
    <row r="58" spans="2:12" ht="16.2" thickBot="1" x14ac:dyDescent="0.35">
      <c r="B58" s="40"/>
      <c r="C58" s="1"/>
      <c r="D58" s="1"/>
      <c r="E58" s="1"/>
      <c r="F58" s="29"/>
    </row>
    <row r="59" spans="2:12" ht="16.2" thickBot="1" x14ac:dyDescent="0.35">
      <c r="B59" s="32" t="s">
        <v>1616</v>
      </c>
      <c r="C59" s="35" t="s">
        <v>1626</v>
      </c>
      <c r="D59" s="1"/>
      <c r="E59" s="1"/>
      <c r="F59" s="29"/>
    </row>
    <row r="60" spans="2:12" x14ac:dyDescent="0.3">
      <c r="B60" s="33" t="s">
        <v>40</v>
      </c>
      <c r="C60" s="67">
        <v>140.29468975069253</v>
      </c>
      <c r="D60" s="1"/>
      <c r="E60" s="1"/>
      <c r="F60" s="29"/>
    </row>
    <row r="61" spans="2:12" x14ac:dyDescent="0.3">
      <c r="B61" s="44" t="s">
        <v>46</v>
      </c>
      <c r="C61" s="68">
        <v>139.80179101604284</v>
      </c>
      <c r="D61" s="1"/>
      <c r="E61" s="1"/>
      <c r="F61" s="29"/>
    </row>
    <row r="62" spans="2:12" x14ac:dyDescent="0.3">
      <c r="B62" s="44" t="s">
        <v>22</v>
      </c>
      <c r="C62" s="68">
        <v>141.67863836206891</v>
      </c>
      <c r="D62" s="1"/>
      <c r="E62" s="1"/>
      <c r="F62" s="29"/>
    </row>
    <row r="63" spans="2:12" ht="16.2" thickBot="1" x14ac:dyDescent="0.35">
      <c r="B63" s="34" t="s">
        <v>16</v>
      </c>
      <c r="C63" s="69">
        <v>141.21389506903375</v>
      </c>
      <c r="D63" s="1"/>
      <c r="E63" s="1"/>
      <c r="F63" s="29"/>
    </row>
    <row r="64" spans="2:12" x14ac:dyDescent="0.3">
      <c r="B64" s="40"/>
      <c r="C64" s="1"/>
      <c r="D64" s="1"/>
      <c r="E64" s="1"/>
      <c r="F64" s="29"/>
    </row>
    <row r="65" spans="2:6" x14ac:dyDescent="0.3">
      <c r="B65" s="40"/>
      <c r="C65" s="1"/>
      <c r="D65" s="1"/>
      <c r="E65" s="1"/>
      <c r="F65" s="29"/>
    </row>
    <row r="66" spans="2:6" x14ac:dyDescent="0.3">
      <c r="B66" s="40"/>
      <c r="C66" s="1"/>
      <c r="D66" s="1"/>
      <c r="E66" s="1"/>
      <c r="F66" s="29"/>
    </row>
    <row r="67" spans="2:6" x14ac:dyDescent="0.3">
      <c r="B67" s="40"/>
      <c r="C67" s="1"/>
      <c r="D67" s="1"/>
      <c r="E67" s="1"/>
      <c r="F67" s="29"/>
    </row>
    <row r="68" spans="2:6" ht="16.2" thickBot="1" x14ac:dyDescent="0.35">
      <c r="B68" s="40"/>
      <c r="C68" s="1"/>
      <c r="D68" s="1"/>
      <c r="E68" s="1"/>
      <c r="F68" s="29"/>
    </row>
    <row r="69" spans="2:6" ht="16.2" thickBot="1" x14ac:dyDescent="0.35">
      <c r="B69" s="32" t="s">
        <v>1616</v>
      </c>
      <c r="C69" s="35" t="s">
        <v>1627</v>
      </c>
      <c r="D69" s="1"/>
      <c r="E69" s="1"/>
      <c r="F69" s="29"/>
    </row>
    <row r="70" spans="2:6" x14ac:dyDescent="0.3">
      <c r="B70" s="33" t="s">
        <v>40</v>
      </c>
      <c r="C70" s="70">
        <v>1083</v>
      </c>
      <c r="D70" s="1"/>
      <c r="E70" s="1"/>
      <c r="F70" s="29"/>
    </row>
    <row r="71" spans="2:6" x14ac:dyDescent="0.3">
      <c r="B71" s="44" t="s">
        <v>46</v>
      </c>
      <c r="C71" s="71">
        <v>935</v>
      </c>
      <c r="D71" s="1"/>
      <c r="E71" s="1"/>
      <c r="F71" s="29"/>
    </row>
    <row r="72" spans="2:6" x14ac:dyDescent="0.3">
      <c r="B72" s="44" t="s">
        <v>22</v>
      </c>
      <c r="C72" s="71">
        <v>928</v>
      </c>
      <c r="D72" s="1"/>
      <c r="E72" s="1"/>
      <c r="F72" s="29"/>
    </row>
    <row r="73" spans="2:6" ht="16.2" thickBot="1" x14ac:dyDescent="0.35">
      <c r="B73" s="34" t="s">
        <v>16</v>
      </c>
      <c r="C73" s="72">
        <v>5577</v>
      </c>
      <c r="D73" s="1"/>
      <c r="E73" s="1"/>
      <c r="F73" s="29"/>
    </row>
    <row r="74" spans="2:6" x14ac:dyDescent="0.3">
      <c r="B74" s="40"/>
      <c r="C74" s="1"/>
      <c r="D74" s="1"/>
      <c r="E74" s="1"/>
      <c r="F74" s="29"/>
    </row>
    <row r="75" spans="2:6" x14ac:dyDescent="0.3">
      <c r="B75" s="40"/>
      <c r="C75" s="1"/>
      <c r="D75" s="1"/>
      <c r="E75" s="1"/>
      <c r="F75" s="29"/>
    </row>
    <row r="76" spans="2:6" ht="16.2" thickBot="1" x14ac:dyDescent="0.35">
      <c r="B76" s="58"/>
      <c r="C76" s="30"/>
      <c r="D76" s="30"/>
      <c r="E76" s="30"/>
      <c r="F76" s="31"/>
    </row>
    <row r="214" spans="10:13" ht="16.2" thickBot="1" x14ac:dyDescent="0.35"/>
    <row r="215" spans="10:13" ht="16.2" thickBot="1" x14ac:dyDescent="0.35">
      <c r="J215" s="62"/>
      <c r="K215" s="38"/>
      <c r="L215" s="38"/>
      <c r="M215" s="63"/>
    </row>
    <row r="216" spans="10:13" x14ac:dyDescent="0.3">
      <c r="J216" s="64"/>
      <c r="K216" s="65"/>
      <c r="L216" s="1"/>
      <c r="M216" s="29"/>
    </row>
  </sheetData>
  <sortState xmlns:xlrd2="http://schemas.microsoft.com/office/spreadsheetml/2017/richdata2" ref="M40:M42">
    <sortCondition descending="1" ref="M42"/>
  </sortState>
  <mergeCells count="5">
    <mergeCell ref="B39:E39"/>
    <mergeCell ref="J215:M215"/>
    <mergeCell ref="L38:O38"/>
    <mergeCell ref="B49:E49"/>
    <mergeCell ref="B2:C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zoomScale="85" zoomScaleNormal="85" workbookViewId="0">
      <selection activeCell="G17" sqref="G17"/>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49404-483C-4755-9A09-6C22360A0418}">
  <dimension ref="Q30"/>
  <sheetViews>
    <sheetView showGridLines="0" tabSelected="1" zoomScale="70" zoomScaleNormal="70" workbookViewId="0">
      <selection activeCell="F25" sqref="F25"/>
    </sheetView>
  </sheetViews>
  <sheetFormatPr defaultRowHeight="15.6" x14ac:dyDescent="0.3"/>
  <sheetData>
    <row r="30" spans="17:17" x14ac:dyDescent="0.3">
      <c r="Q30" t="s">
        <v>1615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Vidhi Shah</cp:lastModifiedBy>
  <dcterms:created xsi:type="dcterms:W3CDTF">2024-06-23T13:11:17Z</dcterms:created>
  <dcterms:modified xsi:type="dcterms:W3CDTF">2025-03-31T23:57:03Z</dcterms:modified>
</cp:coreProperties>
</file>